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80ADF479-EBDC-4C26-9CDA-A0A7EE7492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2" i="1" l="1"/>
  <c r="Q191" i="1"/>
  <c r="Q189" i="1"/>
  <c r="Q187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55" i="1"/>
  <c r="Q154" i="1"/>
  <c r="Q153" i="1"/>
  <c r="Q152" i="1"/>
  <c r="Q151" i="1"/>
  <c r="Q150" i="1"/>
  <c r="Q149" i="1"/>
  <c r="Q148" i="1"/>
  <c r="Q146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P126" i="1"/>
  <c r="Q126" i="1" s="1"/>
  <c r="Q125" i="1"/>
  <c r="Q124" i="1"/>
  <c r="Q123" i="1"/>
  <c r="Q122" i="1"/>
  <c r="Q121" i="1"/>
  <c r="Q120" i="1"/>
  <c r="P119" i="1"/>
  <c r="Q119" i="1" s="1"/>
  <c r="Q118" i="1"/>
  <c r="Q117" i="1"/>
  <c r="Q116" i="1"/>
  <c r="P115" i="1"/>
  <c r="Q115" i="1" s="1"/>
  <c r="Q114" i="1"/>
  <c r="Q113" i="1"/>
  <c r="Q112" i="1"/>
  <c r="Q111" i="1"/>
  <c r="Q110" i="1"/>
  <c r="Q109" i="1"/>
  <c r="P108" i="1"/>
  <c r="Q108" i="1" s="1"/>
  <c r="P107" i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3" i="1"/>
  <c r="Q22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S6" i="1" s="1"/>
  <c r="Q5" i="1"/>
  <c r="Q4" i="1"/>
  <c r="Q3" i="1"/>
</calcChain>
</file>

<file path=xl/sharedStrings.xml><?xml version="1.0" encoding="utf-8"?>
<sst xmlns="http://schemas.openxmlformats.org/spreadsheetml/2006/main" count="3096" uniqueCount="1255">
  <si>
    <t>Emp id</t>
  </si>
  <si>
    <t>Emp Name</t>
  </si>
  <si>
    <t>DOJ</t>
  </si>
  <si>
    <t>Manager Name</t>
  </si>
  <si>
    <t>Designation</t>
  </si>
  <si>
    <t>Status</t>
  </si>
  <si>
    <t>Client Name</t>
  </si>
  <si>
    <t>Remarks</t>
  </si>
  <si>
    <t>Skills</t>
  </si>
  <si>
    <t>Bench/Shadow/Intern/Hiring Date</t>
  </si>
  <si>
    <t>Billable/Terminated/Exit date</t>
  </si>
  <si>
    <t>On Shore/Off-shore</t>
  </si>
  <si>
    <t>RM Change</t>
  </si>
  <si>
    <t>Project Name</t>
  </si>
  <si>
    <t xml:space="preserve">Location </t>
  </si>
  <si>
    <t>Career start date</t>
  </si>
  <si>
    <t>Overall Yrs of Exp</t>
  </si>
  <si>
    <t>Primary skills</t>
  </si>
  <si>
    <t>Relavent Exp in Primary skills</t>
  </si>
  <si>
    <t>Secondary skills</t>
  </si>
  <si>
    <t>Relavent Exp in Secondary skills</t>
  </si>
  <si>
    <t>Skill</t>
  </si>
  <si>
    <t xml:space="preserve">Practice </t>
  </si>
  <si>
    <t>Allocation %</t>
  </si>
  <si>
    <t>Change in RM</t>
  </si>
  <si>
    <t>Consultant</t>
  </si>
  <si>
    <t>Polina Baryshnikova </t>
  </si>
  <si>
    <t>Consultant Project Manager</t>
  </si>
  <si>
    <t>Allocated</t>
  </si>
  <si>
    <t xml:space="preserve">Accelya </t>
  </si>
  <si>
    <t>On-shore</t>
  </si>
  <si>
    <t>Accelya ARC</t>
  </si>
  <si>
    <t>USA</t>
  </si>
  <si>
    <t>ZCUC0033</t>
  </si>
  <si>
    <t>Rapeta Prudhvi Tarun</t>
  </si>
  <si>
    <t>01 Feb 2020</t>
  </si>
  <si>
    <t>Tony Perkins</t>
  </si>
  <si>
    <t>Software Engineer</t>
  </si>
  <si>
    <t>NBLY Staff Aug</t>
  </si>
  <si>
    <t>Tony</t>
  </si>
  <si>
    <t>Systems</t>
  </si>
  <si>
    <t>Docker, Kubernetes, Terraform, Aws, Azure Devops, Jenkins, Azure, Ansible, Pulumi</t>
  </si>
  <si>
    <t xml:space="preserve">5 years </t>
  </si>
  <si>
    <t>Java, Python, Mysql</t>
  </si>
  <si>
    <t>Devops</t>
  </si>
  <si>
    <t>ZC00154</t>
  </si>
  <si>
    <t>Harshad Raja Chari</t>
  </si>
  <si>
    <t>01 Aug 2020</t>
  </si>
  <si>
    <t>Prasanth Nair</t>
  </si>
  <si>
    <t>Technical Lead</t>
  </si>
  <si>
    <t xml:space="preserve">KePSLA </t>
  </si>
  <si>
    <t>Off-shore</t>
  </si>
  <si>
    <t>Kepsla</t>
  </si>
  <si>
    <t>Blr</t>
  </si>
  <si>
    <t>Python, Java, HTML, CSS, JavaScript, PHP</t>
  </si>
  <si>
    <t>3 Years 10 Months</t>
  </si>
  <si>
    <t>SpringBoot, Django, Nodejs, Pandas, Numpy, Scikit-learn, Matplotlib, Seaborn, Folium, MySQL, Postgresql, Neo4j, Athena</t>
  </si>
  <si>
    <t>2 Years</t>
  </si>
  <si>
    <t>Python Full stack developer</t>
  </si>
  <si>
    <t>FrontEnd / Fullstack (javascript) </t>
  </si>
  <si>
    <t>ZC00177</t>
  </si>
  <si>
    <t>Sai Bhargavi</t>
  </si>
  <si>
    <t>11 Mar 2021</t>
  </si>
  <si>
    <t>Shashi Kiran B</t>
  </si>
  <si>
    <t>Sr. SDET</t>
  </si>
  <si>
    <t>SVB</t>
  </si>
  <si>
    <t>Resigned on 10th Mar 2025. Retention process is going on.</t>
  </si>
  <si>
    <t>Manual testing, Automation testing, Java, Selenium, Cypress, SQL, API Testing, Post man and Karate.</t>
  </si>
  <si>
    <t>Manual testing, Automation testing, Java, Selenium, Cypress, SQL, API Testing,</t>
  </si>
  <si>
    <t xml:space="preserve">8 years </t>
  </si>
  <si>
    <t>Post man and Karate.</t>
  </si>
  <si>
    <t>3 Years</t>
  </si>
  <si>
    <t>QA</t>
  </si>
  <si>
    <t>ZC00186</t>
  </si>
  <si>
    <t>Sanganabasva Bawage</t>
  </si>
  <si>
    <t>01 Apr 2021</t>
  </si>
  <si>
    <t>Anurag Mahanto</t>
  </si>
  <si>
    <t>Sr. Software Engineer</t>
  </si>
  <si>
    <t>Anurag</t>
  </si>
  <si>
    <t>Pegasus</t>
  </si>
  <si>
    <t>Hyd</t>
  </si>
  <si>
    <t xml:space="preserve">Dotnet Core, C# , Microservices, SQL </t>
  </si>
  <si>
    <t>AWS Cloud services</t>
  </si>
  <si>
    <t xml:space="preserve">Dotnet </t>
  </si>
  <si>
    <t>.NET Practice </t>
  </si>
  <si>
    <t>ZC00195</t>
  </si>
  <si>
    <t>Abhishek G Sudhakar</t>
  </si>
  <si>
    <t>27 Apr 2021</t>
  </si>
  <si>
    <t>Manjunath Sirur</t>
  </si>
  <si>
    <t>Data Analyst II</t>
  </si>
  <si>
    <t>Adarsh Srikantan</t>
  </si>
  <si>
    <t>Analytics</t>
  </si>
  <si>
    <t>Microsoft Visual Studio, SQL Server Management Studio ,SQL Server Reporting Service, Power BI ,  AWS Glue, Athena, QuickSight</t>
  </si>
  <si>
    <t xml:space="preserve">3 Years 8 Months </t>
  </si>
  <si>
    <t>SQL Server Management Studio, AWS Glue, Athena, QuickSight</t>
  </si>
  <si>
    <t xml:space="preserve">BI </t>
  </si>
  <si>
    <t>Analytics &amp; BI </t>
  </si>
  <si>
    <t>ZC00206</t>
  </si>
  <si>
    <t>Anoosh Sankurubothu</t>
  </si>
  <si>
    <t>07 Jun 2021</t>
  </si>
  <si>
    <t>Santhanakrishnan Balasubramanian</t>
  </si>
  <si>
    <t xml:space="preserve">Infusion Pharmacy </t>
  </si>
  <si>
    <t>Allocated to Infusion Pharmacy project effective 8th April 2025</t>
  </si>
  <si>
    <t xml:space="preserve">Languages- Javascript, Typescript, JQuery, CSS
Frameworks/Libraries - Angular 2+, NodeJS, ExpressJS, Lambdas, SAM, React (Basics), Bootstrap
Technologies/Tools - Docker, AWS, Dynamo </t>
  </si>
  <si>
    <t>Angular, Javascript, JQuery</t>
  </si>
  <si>
    <t>8 Years 7 Months</t>
  </si>
  <si>
    <t>NodeJS, Express, AWS Services</t>
  </si>
  <si>
    <t>6 Months</t>
  </si>
  <si>
    <t>Java Backend</t>
  </si>
  <si>
    <t>Java Practice</t>
  </si>
  <si>
    <t>ZC00214</t>
  </si>
  <si>
    <t>01 Jul 2021</t>
  </si>
  <si>
    <t>Lead- Data Scientist</t>
  </si>
  <si>
    <t xml:space="preserve">a. Allocated to Infusion Pharmacy project </t>
  </si>
  <si>
    <t>Data Science</t>
  </si>
  <si>
    <t>HT</t>
  </si>
  <si>
    <t>Machine learning, Deep learning, Python,  GenAI, 
AWS</t>
  </si>
  <si>
    <t>8 Years 3 Months</t>
  </si>
  <si>
    <t>PowerBI, Tableau,
Machine Learning,
Deep Learning, Applied Generative AI, Applied Statistics</t>
  </si>
  <si>
    <t>8 Years 2 Months</t>
  </si>
  <si>
    <t>Data Engineer</t>
  </si>
  <si>
    <t xml:space="preserve">Analytics &amp; BI </t>
  </si>
  <si>
    <t>ZC00247</t>
  </si>
  <si>
    <t>Pranaya Kumar Mishra</t>
  </si>
  <si>
    <t>08 Sep 2021</t>
  </si>
  <si>
    <t>Nischith Hareesh</t>
  </si>
  <si>
    <t>SDET II</t>
  </si>
  <si>
    <t>Manual + Automation testing (UI + API) , UI Automation Testing with  BDD framework (Java + Selenium ,JavaScript + Cypress) , API Testing using Postman,APIAutomation Testing using Rest Assured , API Automation Testing using Karate , SQL
Additional Skills:
UI Automation testing using Playwright</t>
  </si>
  <si>
    <t>Code Krieg</t>
  </si>
  <si>
    <t>a) Manual + Automation testing (UI + API)
b) UI Automation Testing with  BDD framework
   * Java + Selenium
   * JavaScript + Cypress
c) API Testing using Postman
d) API Automation Testing using Rest Assured
e) API Automation Testing using Karate</t>
  </si>
  <si>
    <t>5 Years 3 Months</t>
  </si>
  <si>
    <t>a)SQL
b) UI Automation testing using Playwright</t>
  </si>
  <si>
    <t>SDET</t>
  </si>
  <si>
    <t>Shashi</t>
  </si>
  <si>
    <t>ZC00267</t>
  </si>
  <si>
    <t>Kavali Shiva Shankar</t>
  </si>
  <si>
    <t>15 Nov 2021</t>
  </si>
  <si>
    <t>Ajay Kumar Yadlapalli</t>
  </si>
  <si>
    <t>Capillary</t>
  </si>
  <si>
    <t>Resigned on 25th April 25</t>
  </si>
  <si>
    <t>Proficient in - 
Cypress automation, Cucumber framework, Javascript, Katalon studio, Manual testing, Git
know basics of - 
Karate framework, Jmeter, Selenium, MySQL, CRM
 like 1</t>
  </si>
  <si>
    <t>Optum</t>
  </si>
  <si>
    <t>Cypress automation, Java script, Cucumber</t>
  </si>
  <si>
    <t>5 Years 8 Months</t>
  </si>
  <si>
    <t>Manual testing</t>
  </si>
  <si>
    <t>ZC00269</t>
  </si>
  <si>
    <t>Poornima Hiregoudar</t>
  </si>
  <si>
    <t>17 Nov 2021</t>
  </si>
  <si>
    <t>Engineering Manager I</t>
  </si>
  <si>
    <t>Infogain</t>
  </si>
  <si>
    <t xml:space="preserve">Java, Springboot , Microservices, Sql  </t>
  </si>
  <si>
    <t xml:space="preserve">15 Years </t>
  </si>
  <si>
    <t>Javascript, Jquery</t>
  </si>
  <si>
    <t>4 Years</t>
  </si>
  <si>
    <t>ZC00270</t>
  </si>
  <si>
    <t>Phaneendra Reddy Byreddy</t>
  </si>
  <si>
    <t>29 Nov 2021</t>
  </si>
  <si>
    <t>Phoenix</t>
  </si>
  <si>
    <t>Selenium,  Java, Rest API, SQL</t>
  </si>
  <si>
    <t xml:space="preserve">7 years </t>
  </si>
  <si>
    <t xml:space="preserve"> Cypress &amp; Karate</t>
  </si>
  <si>
    <t>7 Years</t>
  </si>
  <si>
    <t>ZC00271</t>
  </si>
  <si>
    <t>Yadlapalli Ajay Kumar</t>
  </si>
  <si>
    <t>01 Dec 2021</t>
  </si>
  <si>
    <t>Lead SDET</t>
  </si>
  <si>
    <t>HT project completed</t>
  </si>
  <si>
    <t>Cypress.io, Webdriver.io, Karate, CI/CD Integration, BDD Framework, Functional and Integration Testing</t>
  </si>
  <si>
    <t xml:space="preserve">7 Years </t>
  </si>
  <si>
    <t>Selenium, Javascript, Java, functional/smoke/integration/performance testing, Cucumber Reporting, Azure Devops</t>
  </si>
  <si>
    <t>ZC00275</t>
  </si>
  <si>
    <t>Siva Sanjeev</t>
  </si>
  <si>
    <t>10 Dec 2021</t>
  </si>
  <si>
    <t>Ø Primary skills: Cypress, Cucumber, JavaScript, Katalon Automation
Ø Secondary skills: Selenium, Java, Karate</t>
  </si>
  <si>
    <t>Selenium with Java, Rest Assured, Maven, Jenkins</t>
  </si>
  <si>
    <t xml:space="preserve">7 Years 5 Months </t>
  </si>
  <si>
    <t>GCP</t>
  </si>
  <si>
    <t>ZC00289</t>
  </si>
  <si>
    <t>Gopi Aleti</t>
  </si>
  <si>
    <t>07 Jan 2022</t>
  </si>
  <si>
    <t>PostgreSQL, MSSQL, AWS RDS, Terraform, PowerShell scripting</t>
  </si>
  <si>
    <t>DBA Support</t>
  </si>
  <si>
    <t>MS SQL SERVER DBA, PostgreSQL DBA, SQL, AWS, RDS</t>
  </si>
  <si>
    <t>PowerShell, MongoDB</t>
  </si>
  <si>
    <t>DBA</t>
  </si>
  <si>
    <t>Data science </t>
  </si>
  <si>
    <t>ZC00291</t>
  </si>
  <si>
    <t>Shazib Hassan Khattal</t>
  </si>
  <si>
    <t>10 Jan 2022</t>
  </si>
  <si>
    <t>Software Engineer- II</t>
  </si>
  <si>
    <t xml:space="preserve">Languages- Javascript, Typescript
Frameworks/Libraries - Angular, NodeJS, ExpressJS, Lambdas, SAM, React, Flutter
Technologies/Tools - Docker, AWS, Dynamo, Mongo DB </t>
  </si>
  <si>
    <t>Hapi Integration project</t>
  </si>
  <si>
    <t>Angular</t>
  </si>
  <si>
    <t>React JS</t>
  </si>
  <si>
    <t xml:space="preserve">3  Months </t>
  </si>
  <si>
    <t xml:space="preserve">Full stack </t>
  </si>
  <si>
    <t>ZC00292</t>
  </si>
  <si>
    <t>Rushikesh Ravi Arlekar</t>
  </si>
  <si>
    <t>Harshad Chari</t>
  </si>
  <si>
    <t>Software Engineer II</t>
  </si>
  <si>
    <t>Kepsla STEP</t>
  </si>
  <si>
    <t>Python (Django)</t>
  </si>
  <si>
    <t>Java(Spring Boot), Postgresql</t>
  </si>
  <si>
    <t>Python Developer</t>
  </si>
  <si>
    <t>ZC00293</t>
  </si>
  <si>
    <t>Prajacta Ramesh Mauskar</t>
  </si>
  <si>
    <t>Sravanthi Palavalli</t>
  </si>
  <si>
    <t>QA Engineer II</t>
  </si>
  <si>
    <t>Retained in Optum project till 28th Feb 26</t>
  </si>
  <si>
    <t>Cypress - UI Automation
Karate - API Automation
Manual Testing</t>
  </si>
  <si>
    <t>UI Automation: Cypress</t>
  </si>
  <si>
    <t>API Automation: Karate
Manual Testing Process, Database Testing, Pytest Automation</t>
  </si>
  <si>
    <t>ZC00295</t>
  </si>
  <si>
    <t>Aishwarya Ganesh</t>
  </si>
  <si>
    <t>Bench</t>
  </si>
  <si>
    <t>NA</t>
  </si>
  <si>
    <t>Python (Django), SQL</t>
  </si>
  <si>
    <t>AWS, JavaScript, HTML, CSS</t>
  </si>
  <si>
    <t>ZC00319</t>
  </si>
  <si>
    <t>Tulsi Brundaban Sethy</t>
  </si>
  <si>
    <t>11 Mar 2022</t>
  </si>
  <si>
    <t>Support Specialist II</t>
  </si>
  <si>
    <t>Maternity leave is done, should return by first week of Sept</t>
  </si>
  <si>
    <t>Accounting, Accounts Receivable, CC reconciliation, Analytical skills, Good communication Skills</t>
  </si>
  <si>
    <t>3 years 9 months</t>
  </si>
  <si>
    <t>Account payable and reconciliation</t>
  </si>
  <si>
    <t>Accounts</t>
  </si>
  <si>
    <t>ZC00320</t>
  </si>
  <si>
    <t>Mani Chandana Govada</t>
  </si>
  <si>
    <t>DevOps Engineer II</t>
  </si>
  <si>
    <t>DevOps methodologies, CI/CD implementation, Kubernetes, Cluster management.</t>
  </si>
  <si>
    <t>Scripting and cloud services management</t>
  </si>
  <si>
    <t>ZC00327</t>
  </si>
  <si>
    <t>Arun Kumar Lazarus</t>
  </si>
  <si>
    <t>11 Apr 2022</t>
  </si>
  <si>
    <t>Sr Software Engineer</t>
  </si>
  <si>
    <t>Shadow</t>
  </si>
  <si>
    <t xml:space="preserve">NBLY </t>
  </si>
  <si>
    <t>Allocated to future project "ADO- Lotus"</t>
  </si>
  <si>
    <t>RPM POD</t>
  </si>
  <si>
    <t>Dotnet Core, Entity Framework Core, MSSQL, PSQL, Azure</t>
  </si>
  <si>
    <t>10 years 7 months</t>
  </si>
  <si>
    <t xml:space="preserve">Graphic Designing Skills </t>
  </si>
  <si>
    <t>9 Years 10 Months</t>
  </si>
  <si>
    <t>ZC00332</t>
  </si>
  <si>
    <t>Chandrika Bellamkonda</t>
  </si>
  <si>
    <t>13 May 2022</t>
  </si>
  <si>
    <t>Java, Spring Boot, Rest APIs, JPA, Micro Services, MySql, Hibernate, Mongo DB, HTML, CSS, Jquery, Velocity Templates, Drop Wizard, Thymeleaf, Struts 2</t>
  </si>
  <si>
    <t>6 years 8 months</t>
  </si>
  <si>
    <t>Java, Spring boot, Rest Apis, Mysql</t>
  </si>
  <si>
    <t>6 Years 8 Months</t>
  </si>
  <si>
    <t>Micro Services, Mongo DB, Html, Css, Jquery, Thymeleaf, Velocity Templates</t>
  </si>
  <si>
    <t>ZC00340</t>
  </si>
  <si>
    <t>Atul Bhaskar Kalokhe</t>
  </si>
  <si>
    <t>10 Jun 2022</t>
  </si>
  <si>
    <t>Manual + Automation testing (UI + API) , UI Automation Testing with  BDD framework (Java + Selenium ,JavaScript + Cypress) , API Testing using Postman,APIAutomation Testing using Rest Assured , API Automation Testing using Karate , SQL</t>
  </si>
  <si>
    <t>Elevate</t>
  </si>
  <si>
    <t>Manual testing, Automation testing, Selenium, Cypress and Java</t>
  </si>
  <si>
    <t>5 Years 5 Months</t>
  </si>
  <si>
    <t xml:space="preserve">API testing, </t>
  </si>
  <si>
    <t>3 years 5 Months</t>
  </si>
  <si>
    <t>shashi</t>
  </si>
  <si>
    <t>ZC00360</t>
  </si>
  <si>
    <t>Vadde Sriharsha</t>
  </si>
  <si>
    <t>18 Jul 2022</t>
  </si>
  <si>
    <t>Moumita Nandy</t>
  </si>
  <si>
    <t>Scrum Master</t>
  </si>
  <si>
    <t>Working in PMO Support Group and in Optum as well with Sujatha Reddy for Scrum Support</t>
  </si>
  <si>
    <t>Java/J2EE, Spring(Framework, Boot), Hibernate/JPA, MySql, Oracle, SQL Server, Html, CSS, MongoDB, Scrum framework, Metrics and Reporting.</t>
  </si>
  <si>
    <t>Bevera</t>
  </si>
  <si>
    <t>•	Agile and Scrum Expertise
•	Proficiency in Agile ceremonies (Sprint Planning, Daily Scrum, Sprint Review, Retrospective).
•	Backlog refinement and prioritization.
•	Story point estimation techniques.
•	Leadership and Coaching
•	Servant leadership qualities.
•	Ability to coach teams on Agile principles.
•	Conflict resolution
•	Communication and Collaboration
•	Strong verbal and written communication skills.
•	Collaboration with Product Owners and technical teams.
•	Project Management and Tools
•	Sprint tracking and reporting.
•	Familiarity with tools like Jira, Azure DevOps, or Trello</t>
  </si>
  <si>
    <t>1 Years 1 Months</t>
  </si>
  <si>
    <t>•	Core Java and J2EE
o	Strong understanding of Core Java concepts (OOP, Collections, Multithreading, Exception Handling).
o	Proficiency in Java EE technologies (Servlets, JSP, Web Services - REST/SOAP).
•	Experience with Spring Framework, including:
o	Spring Core
o	Spring MVC
o	Spring Boot for microservices development
•	Hands-on experience with relational databases:
o	MySQL
o	SQL Server
•	Familiarity with NoSQL databases:
o	MongoDB
•	Backend Development
o	Expertise in developing and consuming RESTful APIs.
o	Solid understanding of Microservices architecture using Spring Boot.</t>
  </si>
  <si>
    <t>3 Years 8 Months</t>
  </si>
  <si>
    <t>ZC00364</t>
  </si>
  <si>
    <t>Raghavendra M</t>
  </si>
  <si>
    <t>Devops Engineer I</t>
  </si>
  <si>
    <t>Kepsla Website project</t>
  </si>
  <si>
    <t>Git, Docker, Jenkins, Bitbucket, CloudFormation, Terraform, AWS services like Lambda, CloudWatch, SNS, Cognito</t>
  </si>
  <si>
    <t>2 Years 4 Months</t>
  </si>
  <si>
    <t>Basics of Python and Bash, Mysql</t>
  </si>
  <si>
    <t>1 Year</t>
  </si>
  <si>
    <t>ZC00370</t>
  </si>
  <si>
    <t>Shivanand Vinod Patil</t>
  </si>
  <si>
    <t>Software Engineer I</t>
  </si>
  <si>
    <t>Moved to Valiram, Shell, Petron,DLF project from Sep (Syed Salman's replacement)</t>
  </si>
  <si>
    <t>Languages- Javascript, Typescript, CSS
Frameworks/Libraries - Angular 12, NodeJS, Lambdas, SAM, React, Bootstrap
Technologies/Tools - Docker, AWS, Dynamo</t>
  </si>
  <si>
    <t xml:space="preserve">Frontend :- Angular, Backend:- Nodejs </t>
  </si>
  <si>
    <t>1 Years 7 Months</t>
  </si>
  <si>
    <t xml:space="preserve"> DynamoDB, SQL </t>
  </si>
  <si>
    <t>ZC00374</t>
  </si>
  <si>
    <t>Gummadi Pushparaj</t>
  </si>
  <si>
    <t>25 Jul 2022</t>
  </si>
  <si>
    <t xml:space="preserve">Systems </t>
  </si>
  <si>
    <t xml:space="preserve">DevOps, Cloud Computation, SRE, Automate Cloud Infra/Application Deployment , Scripting
	</t>
  </si>
  <si>
    <t>5 Years</t>
  </si>
  <si>
    <t>Jenkins, Git, Maven, Docker, Terraform, Kubernetes, Sonarqube, Azure Devops,
 AWS cloud, Jira, Bash Sripting, Linux.</t>
  </si>
  <si>
    <t>ZC00377</t>
  </si>
  <si>
    <t>Subash Loganathan</t>
  </si>
  <si>
    <t>01 Aug 2022</t>
  </si>
  <si>
    <t>Languages- JavaScript, JQuery, NodeJS
Frameworks/Libraries - React, Redux, Express, Angular, SAM (NodeJS), Bootstrap, Ant Design
Technologies - AWS (Cognito, Dynamo, Cloudwatch, S3, Lambdas, Scheduler), MySQL</t>
  </si>
  <si>
    <t xml:space="preserve">Shell project </t>
  </si>
  <si>
    <t>Languages- JavaScript, JQuery, NodeJS
Frameworks/Libraries - React, Redux, Express, Angular, SAM (NodeJS), Bootstrap, Ant Design</t>
  </si>
  <si>
    <t>5 Years 9 Months</t>
  </si>
  <si>
    <t>Technologies - AWS (Cognito, Dynamo, Cloudwatch, S3, Lambdas, Scheduler), MySQL</t>
  </si>
  <si>
    <t>ZC00379</t>
  </si>
  <si>
    <t>Channabasav Marihal</t>
  </si>
  <si>
    <t>React</t>
  </si>
  <si>
    <t xml:space="preserve">1 Year </t>
  </si>
  <si>
    <t>Learning React Native, Node JS</t>
  </si>
  <si>
    <t>Learning</t>
  </si>
  <si>
    <t xml:space="preserve">Frontend </t>
  </si>
  <si>
    <t>ZC00399</t>
  </si>
  <si>
    <t>Divya Biradar</t>
  </si>
  <si>
    <t>15 Sep 2022</t>
  </si>
  <si>
    <t>Proficient in - 
angular, html, css, java script, material UI 
know basics of - 
node js, sql, react js, core java, spring boot</t>
  </si>
  <si>
    <t>Angular, Javascript, HTML, CSS</t>
  </si>
  <si>
    <t>1 Year 9 Months</t>
  </si>
  <si>
    <t xml:space="preserve"> React and Node</t>
  </si>
  <si>
    <t>ZC00419</t>
  </si>
  <si>
    <t>Rangaswamy Sarla</t>
  </si>
  <si>
    <t>17 Oct 2022</t>
  </si>
  <si>
    <t>Lead Software Engineer</t>
  </si>
  <si>
    <t>J2SE, J2EE, MicroServices, SpringBoot, DevOps, AWS, WebServices-SOAP,REST,WebFlux, Oracle,Sql Server,My Sql, Html,JavaScript, Html,JavaScript, Spring , Struts 2.x</t>
  </si>
  <si>
    <t>J2SE,J2EE,Spring Boot, Spring Framework, Restful Services, Web Services, AWS, DevOps</t>
  </si>
  <si>
    <t xml:space="preserve">8 Years </t>
  </si>
  <si>
    <t>DevOps, AWS, React Js</t>
  </si>
  <si>
    <t>ZC00427</t>
  </si>
  <si>
    <t>Prathyusha Penmetsa</t>
  </si>
  <si>
    <t>28 Oct 2022</t>
  </si>
  <si>
    <t>Sr. QA Engineer</t>
  </si>
  <si>
    <t>Selenium with Java, Cucumber BDD, Having Good Knowledge in Postman, Having basic knowledge in Katalon Studio Tool.</t>
  </si>
  <si>
    <t xml:space="preserve">Selenium with JAVA.
Expertise in test planning, automation </t>
  </si>
  <si>
    <t xml:space="preserve">1.Knowledge of Testing Methodologies
2.API Testing through Postman
3.Critical Thinking and Problem solving
4.Database Testing
</t>
  </si>
  <si>
    <t>ZC00436</t>
  </si>
  <si>
    <t>Suresh Royya</t>
  </si>
  <si>
    <t>14 Nov 2022</t>
  </si>
  <si>
    <t>Selenium with Java</t>
  </si>
  <si>
    <t>All Phases in SDLC, Testing methodology(like manual testing, automation testing, black box testing, white box testing ), Automation selenium with Java language.</t>
  </si>
  <si>
    <t xml:space="preserve">Familiarity with CI/CD tools, knowledge of version control systems ( like git hub, Git lab)  and BDD cucumber framework, Testing API	</t>
  </si>
  <si>
    <t>4 Years 8 Months</t>
  </si>
  <si>
    <t>ZC00443</t>
  </si>
  <si>
    <t>Polapelli Santhosh Kumar</t>
  </si>
  <si>
    <t>23 Nov 2022</t>
  </si>
  <si>
    <t xml:space="preserve"> Java/J2EE, Spring(Framework, Boot), MyBatis, Hibernate/JPA, MySql, Oracle, SQL Server, PLSQL, MOCA, Html, CSS, JavaScript, JQuery, Ajax, Liferay, MongoDB, Python(Basics)</t>
  </si>
  <si>
    <t>Core Java, Spring, Spring Boot, Restful Webservices</t>
  </si>
  <si>
    <t>11 Years</t>
  </si>
  <si>
    <t>MOCA, Liferay 6.2, Liferay 6.1, MySQL, Oracle and MongoDB</t>
  </si>
  <si>
    <t>ZC00450</t>
  </si>
  <si>
    <t>Rama Gopal Kurukuntla</t>
  </si>
  <si>
    <t>19 Dec 2022</t>
  </si>
  <si>
    <t>Off-boarded from Capillary, currently up-skilling</t>
  </si>
  <si>
    <t>Primary skills: Java, Spring Boot, RestFul Web service, Microservice, MySql, MongoDB
Secondary skills: Devops, AWS</t>
  </si>
  <si>
    <t xml:space="preserve">MyPlace </t>
  </si>
  <si>
    <t>Java, Spring Boot, RestFul Web service, Microservice, MySql, MongoDB</t>
  </si>
  <si>
    <t>Java -5.3 years,
Spring MVC-2 years,
Spring Boot-3.3 years,
Microservice-3.3 years,
Rest-Ful Service-3.3 years,
Maven-2 years,
Gradel-3.3 years,
Oracle-1.5 years,
MySQL-2 years,
MongoDb-1.5 years,
PostgreSQL-3 months</t>
  </si>
  <si>
    <t>Devops, AWS</t>
  </si>
  <si>
    <t>Kafka-2.5 years,
Docker- 2.5 years,
Kubernetes,-2.5years,
Aws- 2.3 months</t>
  </si>
  <si>
    <t>ZC00451</t>
  </si>
  <si>
    <t>Ahrar Almadar</t>
  </si>
  <si>
    <t>26 Dec 2022</t>
  </si>
  <si>
    <t>Finance &amp; Support</t>
  </si>
  <si>
    <t>Accounting, Accounts Receivable</t>
  </si>
  <si>
    <t>3 Years 4 Months</t>
  </si>
  <si>
    <t>CC reconciliation, Analytical skills</t>
  </si>
  <si>
    <t>Suraj</t>
  </si>
  <si>
    <t>ZC00452</t>
  </si>
  <si>
    <t>Gowreddy Naveen Kumar Reddy</t>
  </si>
  <si>
    <t>27 Dec 2022</t>
  </si>
  <si>
    <t>Bibin Kumar</t>
  </si>
  <si>
    <t>Business Analyst</t>
  </si>
  <si>
    <t>Analytical Skills, Documentation and Reporting, Business Acumen, Problem-Solving Skills</t>
  </si>
  <si>
    <t>BRD, FRD, SRS, User stories, Requirement elicitation techniques, Product backlog, stakeholder management, cross functional team management,Scrum cermonies.Agile methology,</t>
  </si>
  <si>
    <t>BA</t>
  </si>
  <si>
    <t>Consulting</t>
  </si>
  <si>
    <t>ZC00453</t>
  </si>
  <si>
    <t>Evaturi Subrahmanya Surya Teja</t>
  </si>
  <si>
    <t>02 Jan 2023</t>
  </si>
  <si>
    <t>Senior Business Analyst</t>
  </si>
  <si>
    <t>Belongs to Galaxy team</t>
  </si>
  <si>
    <t xml:space="preserve">Figma, Marketing skills, </t>
  </si>
  <si>
    <t>Digital Team</t>
  </si>
  <si>
    <t>Figma, MS office, SQL</t>
  </si>
  <si>
    <t>6 Years</t>
  </si>
  <si>
    <t>ADO, Jira</t>
  </si>
  <si>
    <t>Bibin</t>
  </si>
  <si>
    <t>ZC00457</t>
  </si>
  <si>
    <t>Siddharth Bhattacharjee</t>
  </si>
  <si>
    <t>04 Jan 2023</t>
  </si>
  <si>
    <t>Allocated to Infusion Pharmacy</t>
  </si>
  <si>
    <t>Html, CSS, JS, React, Figma</t>
  </si>
  <si>
    <t>1 Years 5 Months</t>
  </si>
  <si>
    <t>UI/UX</t>
  </si>
  <si>
    <t>UI/UX Developer</t>
  </si>
  <si>
    <t>ZC00458</t>
  </si>
  <si>
    <t>Kashinath Gajanan Borkar</t>
  </si>
  <si>
    <t>Aws, Terraform, Helm, Datadog</t>
  </si>
  <si>
    <t>1 years 4 Months</t>
  </si>
  <si>
    <t>Python, Git,Cidi</t>
  </si>
  <si>
    <t>ZC00459</t>
  </si>
  <si>
    <t>Shivaraj Sudhakar Jadhav</t>
  </si>
  <si>
    <t>allocated</t>
  </si>
  <si>
    <t>Proficient in:
Angular , React , HTML , CSS , JavaScript, TypeScript, Git , Material UI , Bootstrap 
Knows basics of:
NodeJS , Express , Next JS , MySQL , Mongo , Firebase</t>
  </si>
  <si>
    <t>JavaScript, TypeScript, Angular, React.js, Node.js, Next.Js, Express,HTML, CSS, Material UI, MySql, mongoDb, Firebase, Redux,</t>
  </si>
  <si>
    <t>1 Years 10 Months</t>
  </si>
  <si>
    <t>Node.js</t>
  </si>
  <si>
    <t>ZC00460</t>
  </si>
  <si>
    <t>Faiyaz Mohd Rafik Jambotkar</t>
  </si>
  <si>
    <t>Allocated(50%) to future project Accelya SPARK</t>
  </si>
  <si>
    <t>ARC API</t>
  </si>
  <si>
    <t>Git, Jenkins, Docker, Kubernetes, Helm, Terraform, AWS, Azure DevOps, GitLab CI, Sonar, Prometheus, Grafana</t>
  </si>
  <si>
    <t xml:space="preserve">1 Year 11 Months </t>
  </si>
  <si>
    <t xml:space="preserve">Infrastructure Engineering, Cloud Engineering, Python, Golang </t>
  </si>
  <si>
    <t>5 Months</t>
  </si>
  <si>
    <t>ZC00461</t>
  </si>
  <si>
    <t>Rachit Naik Gaunkar</t>
  </si>
  <si>
    <t>React JS, Material UI, Syncfusion</t>
  </si>
  <si>
    <t xml:space="preserve">1 Year 6 Months </t>
  </si>
  <si>
    <t>Node js , 
MongoDB</t>
  </si>
  <si>
    <t>ZC00463</t>
  </si>
  <si>
    <t>Shivam Arvind Tivrekar</t>
  </si>
  <si>
    <t>C#, MSSQL, ASP Dotnet core web APIs</t>
  </si>
  <si>
    <t>1 Year 4 Months</t>
  </si>
  <si>
    <t>ZC00467</t>
  </si>
  <si>
    <t>Adarsh Umesh Gadekar</t>
  </si>
  <si>
    <t>Zapminds</t>
  </si>
  <si>
    <t>Zapminds - KePSLA ConvoAI</t>
  </si>
  <si>
    <t xml:space="preserve">Advance Python, Machine Learning, Data Analysis
	</t>
  </si>
  <si>
    <t>1 Year 6 Months</t>
  </si>
  <si>
    <t>Flask, Django, SQL, AWS</t>
  </si>
  <si>
    <t>ZC00468</t>
  </si>
  <si>
    <t>Sahil Asolkar</t>
  </si>
  <si>
    <t>proficient in - 
angular, react, html, vanilla css, next js, material UI 
know basics of - 
node js, mongodb, firebase, sql</t>
  </si>
  <si>
    <t>React.js, Angular, Javascript, Typescript, Next.js, Node.js, Redux, Material UI</t>
  </si>
  <si>
    <t>ZC00481</t>
  </si>
  <si>
    <t>Shital Ghogre</t>
  </si>
  <si>
    <t>11 Jan 2023</t>
  </si>
  <si>
    <t xml:space="preserve">
Manual testing, Automation testing, Java, Selenium or Cypress, SQL,  Rest Assured and  API Testing</t>
  </si>
  <si>
    <t>Manual testing, Automation testing,
API testing,Selenium,Cypress and Java</t>
  </si>
  <si>
    <t>SQL</t>
  </si>
  <si>
    <t>ZC00485</t>
  </si>
  <si>
    <t>Prayag Raj Sharma</t>
  </si>
  <si>
    <t>17 Jan 2023</t>
  </si>
  <si>
    <t>Yatra project has been completed</t>
  </si>
  <si>
    <t>Primary: Java , React , MySQL,  Angular, Mongo DB, NodeJS, Spring, Dropwizard
 Secondary: Python, Neo4j,  Play, Kafka</t>
  </si>
  <si>
    <t>Java , React , MySQL,  Angular, Mongo DB, NodeJS, Spring, Dropwizard</t>
  </si>
  <si>
    <t>Python, Neo4j, Play, Kafka</t>
  </si>
  <si>
    <t>ZC00487</t>
  </si>
  <si>
    <t>Susheela Magadum</t>
  </si>
  <si>
    <t>Data Scientist I</t>
  </si>
  <si>
    <t xml:space="preserve">Python, SQL, Pandas, Numpy, ML, Django </t>
  </si>
  <si>
    <t xml:space="preserve">Aws, Generative AI, Data analysis, Django </t>
  </si>
  <si>
    <t>ZC00489</t>
  </si>
  <si>
    <t>Manvitha Reddy</t>
  </si>
  <si>
    <t>QA Engineer- I</t>
  </si>
  <si>
    <t>Allocated as Intern in Suntech project</t>
  </si>
  <si>
    <t>Manual testing that includes sanity, smoke, integration and regression testing.</t>
  </si>
  <si>
    <t>1 Year 5 Months</t>
  </si>
  <si>
    <t>API (Application programming Interface) testing using postman.</t>
  </si>
  <si>
    <t>11 Months</t>
  </si>
  <si>
    <t>ZC0049</t>
  </si>
  <si>
    <t>Dheeraj Bhoomireddy</t>
  </si>
  <si>
    <t>12 Oct 2015</t>
  </si>
  <si>
    <t>Manikanta Garikipati</t>
  </si>
  <si>
    <t>Architect</t>
  </si>
  <si>
    <t>a.Retained in Optum project till 28th Feb 26. 
b. Allocated (25%) to project " Infusion Pharmacy"
c. Allocated(25%) to future project "Open Dental"</t>
  </si>
  <si>
    <t>Java, AWS, Spring Boot, MySql, Kafka, Solr, Elastic Search, Mongo DB,  Application/Cloud Solutioning.</t>
  </si>
  <si>
    <t>10 Years</t>
  </si>
  <si>
    <t>Node Js, Python, JMeter, Selenium</t>
  </si>
  <si>
    <t>ZC00495</t>
  </si>
  <si>
    <t>Bharath Kumar</t>
  </si>
  <si>
    <t>07 Feb 2023</t>
  </si>
  <si>
    <t>Sr DevOps Engineer</t>
  </si>
  <si>
    <t>Allocated(50%) to future project "ADO -  Lotus"</t>
  </si>
  <si>
    <t>Flex select</t>
  </si>
  <si>
    <t>Devops- Aws</t>
  </si>
  <si>
    <t>Git, BitBucket, Gitlab, Git actions, Gitlab CICD, Prometheus-Grafana, DataDog, Shell Scripting, Python boto3, Ansible, GCP, EKS</t>
  </si>
  <si>
    <t>ZC00505</t>
  </si>
  <si>
    <t>Soumya Bawage</t>
  </si>
  <si>
    <t>01 Mar 2023</t>
  </si>
  <si>
    <t>Allocated to future project Accelya SPARK</t>
  </si>
  <si>
    <t>Dotnet</t>
  </si>
  <si>
    <t>Dotnet, Microservices, Rest API, Design Patterns</t>
  </si>
  <si>
    <t>SQL, PostgreSQL, LINQ</t>
  </si>
  <si>
    <t>ZC00506</t>
  </si>
  <si>
    <t>Bemineni Tejasree</t>
  </si>
  <si>
    <t>03 Mar 2023</t>
  </si>
  <si>
    <t>Languages: Core Java, java Script
Database: My SQL
Framework Works: TDD,KDD
Automation Testing : selenium WebDriver, Selenium WebDriver IO, TestNG, Cucumber(BDD),Cypress
Test Mangement Tools : Jira, Azure Devop's</t>
  </si>
  <si>
    <t>Languages: Core Java, java Script
Database: My SQL
Framework Works: TDD,KDD</t>
  </si>
  <si>
    <t>Automation Testing : selenium WebDriver, Selenium WebDriver IO, TestNG, Cucumber(BDD),Cypress
Test Mangement Tools : Jira, Azure Devop's</t>
  </si>
  <si>
    <t>ZC00511</t>
  </si>
  <si>
    <t>M Harinatha Reddy</t>
  </si>
  <si>
    <t>10 Mar 2023</t>
  </si>
  <si>
    <t>Primary Skills: Java8, spring, Spring boot, Microservices, Spring-Rest and Hibernate
Secondary Skills: Apache Kafka</t>
  </si>
  <si>
    <t>Java, Spring, Spring boot, Microservices, Spring Rest, Spring MVC, MySql, Maven and Git</t>
  </si>
  <si>
    <t>6 Years 6 Months</t>
  </si>
  <si>
    <t>Apache Kafka  </t>
  </si>
  <si>
    <t>Poornima</t>
  </si>
  <si>
    <t>ZC00514</t>
  </si>
  <si>
    <t>Sangappa M Kudleppanavar</t>
  </si>
  <si>
    <t>29 Mar 2023</t>
  </si>
  <si>
    <t>Will be released on 18th April 25</t>
  </si>
  <si>
    <t>Java, Selenium,API automation, Functional UI Automation, Katalon Studio</t>
  </si>
  <si>
    <t>SQL,Regression testung ,Manul Testing ,Test case creation</t>
  </si>
  <si>
    <t>ZC00516</t>
  </si>
  <si>
    <t>Prasadam Vijaya Saradhi</t>
  </si>
  <si>
    <t>03 Apr 2023</t>
  </si>
  <si>
    <t>Sr. SQL Database Administrator</t>
  </si>
  <si>
    <t xml:space="preserve"> MS SQL SERVER DBA/Architect, PostgreSQL DBA, SQL, Snowflake, Azure, AWS</t>
  </si>
  <si>
    <t>16 Years</t>
  </si>
  <si>
    <t> Powershell, MySQL</t>
  </si>
  <si>
    <t>ZC00526</t>
  </si>
  <si>
    <t>Ritesh Singh</t>
  </si>
  <si>
    <t>15 May 2023</t>
  </si>
  <si>
    <t>9 Years</t>
  </si>
  <si>
    <t>AWS Devops</t>
  </si>
  <si>
    <t>ZC00535</t>
  </si>
  <si>
    <t>Jatin Prakash Jain</t>
  </si>
  <si>
    <t>05 Jun 2023</t>
  </si>
  <si>
    <t>Mobile Developer</t>
  </si>
  <si>
    <t>KePSLA Webapp</t>
  </si>
  <si>
    <t xml:space="preserve">React Native
	</t>
  </si>
  <si>
    <t>ZC00536</t>
  </si>
  <si>
    <t>Nookala Suseela</t>
  </si>
  <si>
    <t>08 Jun 2023</t>
  </si>
  <si>
    <t>Sr. Scrum Master</t>
  </si>
  <si>
    <t>Assigned to the Infusion Pharmacy project effective 8th April  2025</t>
  </si>
  <si>
    <t>Falcon</t>
  </si>
  <si>
    <t>7 Years 9 Months</t>
  </si>
  <si>
    <t>Agile Project Manager, Stake holder management</t>
  </si>
  <si>
    <t>scrum master</t>
  </si>
  <si>
    <t xml:space="preserve">Process (SCRUM / Program) </t>
  </si>
  <si>
    <t>Moumita</t>
  </si>
  <si>
    <t>ZC00540</t>
  </si>
  <si>
    <t>Vinod Babu Vajrapu</t>
  </si>
  <si>
    <t>19 Jun 2023</t>
  </si>
  <si>
    <t>Shifted to NBLY project on April 1st</t>
  </si>
  <si>
    <t>Main skill is Devops</t>
  </si>
  <si>
    <t>ZC00541</t>
  </si>
  <si>
    <t>Sreeharsha Javalkar</t>
  </si>
  <si>
    <t>20 Jun 2023</t>
  </si>
  <si>
    <t xml:space="preserve"> Languages- Javascript, Typescript, JQuery, CSS KARMA jasmine, Java
Frameworks/Libraries - Angular 8+, NodeJS, ExpressJS, React (Basics), Bootstrap, HTML5 css3, scss , microservices.
Technologies/Tools - Docker, AWS, Dynamo, mongoDB(basics)</t>
  </si>
  <si>
    <t xml:space="preserve">Angular, HTML, CSS, JavaScript, TypeScript </t>
  </si>
  <si>
    <t>3 Years 11 Months</t>
  </si>
  <si>
    <t>React, Java Spring, NodeJS</t>
  </si>
  <si>
    <t>ZC00542</t>
  </si>
  <si>
    <t>Jay Shankar Pandey</t>
  </si>
  <si>
    <t>21 Jun 2023</t>
  </si>
  <si>
    <t>Dotnet full stack developer </t>
  </si>
  <si>
    <t>Angular, JavaScript </t>
  </si>
  <si>
    <t> 2yrs</t>
  </si>
  <si>
    <t>ZC00546</t>
  </si>
  <si>
    <t>Anjali Roy</t>
  </si>
  <si>
    <t>10 Jul 2023</t>
  </si>
  <si>
    <t>Languages - HTML, CSS, JavaScript, TypeScript, Python
Frameworks - ReactJS, Angular, Redux, NodeJS, PostgreSQL
Tools - Google Analytics, WordPress, Docker</t>
  </si>
  <si>
    <t>Languages - HTML, CSS, JavaScript, TypeScript, Python
Frameworks - ReactJS, Angular, Redux, NodeJS, PostgreSQL</t>
  </si>
  <si>
    <t>1 Years 4 Months</t>
  </si>
  <si>
    <t>Tools - Google Analytics, WordPress, Docker</t>
  </si>
  <si>
    <t>ZC00547</t>
  </si>
  <si>
    <t>Anshul Kumar</t>
  </si>
  <si>
    <t>Moved to billing on March 4th</t>
  </si>
  <si>
    <t>Python, PyTorch, Tensorflow, Machine Learning,Deep Learning, Computer Vision, OpenCV, SQL</t>
  </si>
  <si>
    <t>Web Development (HTML, CSS, JavaScript), Database Management (SQL, MongoDB), Flutter, React, Node, AWS Quicksight, Glue</t>
  </si>
  <si>
    <t>ZC00549</t>
  </si>
  <si>
    <t>Ayush Gupta</t>
  </si>
  <si>
    <t>Proficient in:
HTML, CSS, Javascript, Angular, Figma
Knows basics of:
React, Git, SQL, PHP, Laravel</t>
  </si>
  <si>
    <t>React and Angular</t>
  </si>
  <si>
    <t>ZC00552</t>
  </si>
  <si>
    <t>Krishna Vamsi Reddy</t>
  </si>
  <si>
    <t xml:space="preserve"> Primary: Java, Spring Boot, SQL, Neo4J, HTML, CSS, C++, JS.
 Secondary: NodeJs</t>
  </si>
  <si>
    <t>Java, Spring Boot, SQL, Neo4J, HTML, CSS, C++, JS.</t>
  </si>
  <si>
    <t>NodeJs</t>
  </si>
  <si>
    <t>ZC00553</t>
  </si>
  <si>
    <t>Shreyash Pandey</t>
  </si>
  <si>
    <t>Also working in Zapminds - Demand Predictor</t>
  </si>
  <si>
    <t xml:space="preserve">Languages- JavaScript, TypeScript, Python, C++. Can work in Java and Golang as well.
Frameworks/Libraries - React, Redux, Express, NestJS, Angular, SAM
Technologies - Docker, AWS, PostgreSQL </t>
  </si>
  <si>
    <t>Frontend:
Angular, ReactJS, Redux
Backend:
Nodejs, Express, Sequelize, NestJS, SAM - AWS Lambda</t>
  </si>
  <si>
    <t>Database:
PostgreSQL, DynamoDB
Languages:
TS, JS, C++, Python, Java, Golang
Tools:
Docker, AWS</t>
  </si>
  <si>
    <t>ZC00555</t>
  </si>
  <si>
    <t>Umang Sinha</t>
  </si>
  <si>
    <t>Zapminds - Demand Predictor</t>
  </si>
  <si>
    <t xml:space="preserve">Software Engineer	Languages: JavaScript, TypeScript, Dart, Java, SQL, Groovy, Bash, Kotlin, Golang
Frameworks: NodeJS, ExpressJS, AWS Lambda, Flutter, Android Framework, Spring Boot
Tools: DynamoDB, Docker, Kubernetes, AWS ECS, EC2, CloudWatch, Jenkins, Firebase, MongoDB, Sequelize, MySQL, Git
 like 1 </t>
  </si>
  <si>
    <t>Frontend: Flutter, Android Framework
Backend: NodeJS, ExpressJS, AWS Lambda
Database: DynamoDB, MongoDB, MySQL
Languages: JavaScript, TypeScript, Dart, Java, SQL, Kotlin
Tools: Docker, Kubernetes, AWS ECS, EC2, CloudWatch, Jenkins, Firebase, Sequelize, Git</t>
  </si>
  <si>
    <t>Backend: Spring Boot
Languages: Groovy, Bash, Golang</t>
  </si>
  <si>
    <t>ZC00556</t>
  </si>
  <si>
    <t>Velaga Sri Venkata Naga Vasudeva Rao</t>
  </si>
  <si>
    <t>They will be released from 10th April 25</t>
  </si>
  <si>
    <t>Python ,SQL</t>
  </si>
  <si>
    <t>Power BI, AWS Quicksight, Figma</t>
  </si>
  <si>
    <t>ZC00560</t>
  </si>
  <si>
    <t>Varun Shridhar</t>
  </si>
  <si>
    <t>Removed from NBLY Staff Aug</t>
  </si>
  <si>
    <t>React, SQL</t>
  </si>
  <si>
    <t>Dotnet Fullstack developer</t>
  </si>
  <si>
    <t>ZC00562</t>
  </si>
  <si>
    <t>Naveen Karuturi</t>
  </si>
  <si>
    <t>20 Jul 2023</t>
  </si>
  <si>
    <t>Sr. Data Analyst</t>
  </si>
  <si>
    <t>Maxval</t>
  </si>
  <si>
    <t>MSSQL, Azure Data Factory, Databricks, SSIS, Python</t>
  </si>
  <si>
    <t>MSSQL, Azure Data Factory, Databricks</t>
  </si>
  <si>
    <t>6 Years 9 Months</t>
  </si>
  <si>
    <t>SSIS, Python</t>
  </si>
  <si>
    <t>ZC00566</t>
  </si>
  <si>
    <t>Moses Arulvin G</t>
  </si>
  <si>
    <t>02 Aug 2023</t>
  </si>
  <si>
    <t>2nd May 25 is LWD</t>
  </si>
  <si>
    <t>Node js, Typescript</t>
  </si>
  <si>
    <t>6 Years 2 Months</t>
  </si>
  <si>
    <t xml:space="preserve">React js </t>
  </si>
  <si>
    <t>ZC00569</t>
  </si>
  <si>
    <t>Ramachandran Periyasamypandian</t>
  </si>
  <si>
    <t>28 Aug 2023</t>
  </si>
  <si>
    <t>Working in Zapminds</t>
  </si>
  <si>
    <t>Cypress, Selenium, Java,  Javascript, BDD, Cucumber, Karate API BED automation</t>
  </si>
  <si>
    <t>SQL, Fullstack, Mobile Automation Testing</t>
  </si>
  <si>
    <t>ZC00571</t>
  </si>
  <si>
    <t>Sonia Philip</t>
  </si>
  <si>
    <t>13 Sep 2023</t>
  </si>
  <si>
    <t>Resigned and LWD is 13th June 25</t>
  </si>
  <si>
    <t>c#, Dotnet 6.0, Microservice, Postgresql, Entity framework,LINQ</t>
  </si>
  <si>
    <t>ASP Dotnet Core ,ASP Dotnet MVC, ADO Dotnet, Web API, Windos Services, PowerpointVSTO, SSIS, MSSQL, MySql, HTML, Bootstrap, Css, Angular 4,Reactjs,AngularJs,jquery,typescript,javascript ,AWS</t>
  </si>
  <si>
    <t>8 Years</t>
  </si>
  <si>
    <t>ZC00572</t>
  </si>
  <si>
    <t>Raviteja Gorentla</t>
  </si>
  <si>
    <t>Resource has resigned on 8th April 2025</t>
  </si>
  <si>
    <t>Performance testing</t>
  </si>
  <si>
    <t>Performance testing With Neoload &amp; Loadrunner</t>
  </si>
  <si>
    <t>Loadrunner </t>
  </si>
  <si>
    <t>2 Years 5 Months</t>
  </si>
  <si>
    <t>ZC00581</t>
  </si>
  <si>
    <t>Ramyakrishna Jammigumpula</t>
  </si>
  <si>
    <t>23 Oct 2023</t>
  </si>
  <si>
    <t>React Native – Proficient
React Js - Hands on
Javascript – Proficient
Typescript - hands on</t>
  </si>
  <si>
    <t>Java Script &amp; React Native, React JS</t>
  </si>
  <si>
    <t>Typescript</t>
  </si>
  <si>
    <t>ZC00590</t>
  </si>
  <si>
    <t>MD Shamim</t>
  </si>
  <si>
    <t>15 Nov 2023</t>
  </si>
  <si>
    <t>Extended for Mar &amp; April 2025</t>
  </si>
  <si>
    <t>NodeJS, Angular</t>
  </si>
  <si>
    <t>MySQL, MongoDB</t>
  </si>
  <si>
    <t>ZC00593</t>
  </si>
  <si>
    <t>Nandhakumar G</t>
  </si>
  <si>
    <t>28 Nov 2023</t>
  </si>
  <si>
    <t>Perfetto Traveller</t>
  </si>
  <si>
    <t>Offboarded from Capillary Staff Aug project</t>
  </si>
  <si>
    <t>Perfetto</t>
  </si>
  <si>
    <t>HTML, CSS, JS, 
React, Node, 
Mongo, 
SQL, Postgress SQL</t>
  </si>
  <si>
    <t>JS, React, Node</t>
  </si>
  <si>
    <t>ZC00595</t>
  </si>
  <si>
    <t>Gopinath S</t>
  </si>
  <si>
    <t>01 Dec 2023</t>
  </si>
  <si>
    <t>React, Typescript</t>
  </si>
  <si>
    <t>React native</t>
  </si>
  <si>
    <t>ZC00598</t>
  </si>
  <si>
    <t>Manikattu Ramanjaneyulu</t>
  </si>
  <si>
    <t>07 Dec 2023</t>
  </si>
  <si>
    <t>Moved from Capillary Optum</t>
  </si>
  <si>
    <t>Api Automation- Karate with Cucumber BDD framework, Rest assured</t>
  </si>
  <si>
    <t>CODA UI Automation</t>
  </si>
  <si>
    <t>ZC00599</t>
  </si>
  <si>
    <t>Navya Reddy</t>
  </si>
  <si>
    <t>11 Dec 2023</t>
  </si>
  <si>
    <t>PostgreSQL, Kubernetes, Linux, Python</t>
  </si>
  <si>
    <t xml:space="preserve">5 Years </t>
  </si>
  <si>
    <t>SQL, MySQL, MongoDB, Pandas, NumPy</t>
  </si>
  <si>
    <t>ZC00603</t>
  </si>
  <si>
    <t>Alen Jose K T</t>
  </si>
  <si>
    <t>02 Jan 2024</t>
  </si>
  <si>
    <t>CC reconciliation</t>
  </si>
  <si>
    <t>Finance</t>
  </si>
  <si>
    <t>ZC00604</t>
  </si>
  <si>
    <t>Nagam Lakshmi Deepthi</t>
  </si>
  <si>
    <t>03 Jan 2024</t>
  </si>
  <si>
    <t>Moved back to SVB</t>
  </si>
  <si>
    <t>4 Years 5 Months</t>
  </si>
  <si>
    <t>Atlassian JIRA, Atlassian Confluence, Kanban board</t>
  </si>
  <si>
    <t>ZC00606</t>
  </si>
  <si>
    <t>Udesh Arlekar</t>
  </si>
  <si>
    <t>08 Jan 2024</t>
  </si>
  <si>
    <t>Main Skill is Java Backend
React, React Native, Flutter, Typescript, Dot net (basic)</t>
  </si>
  <si>
    <t>React JS, Express JS, Material Ui, Next js</t>
  </si>
  <si>
    <t>10 Months</t>
  </si>
  <si>
    <t xml:space="preserve"> React Native, Nestjs</t>
  </si>
  <si>
    <t>ZC00607</t>
  </si>
  <si>
    <t>Adroy Egidius Fernandes</t>
  </si>
  <si>
    <t>SDET I</t>
  </si>
  <si>
    <t>Selected as Shadow for NBLY project, Main Skill is Java Backend
Interested in: 1) Data Science ; 2) Backend development</t>
  </si>
  <si>
    <t>Main Skill is Java Backend
python, sql , Java, basic javascript</t>
  </si>
  <si>
    <t xml:space="preserve">Brand Integration </t>
  </si>
  <si>
    <t>Automation Testing</t>
  </si>
  <si>
    <t>Manual Testing</t>
  </si>
  <si>
    <t>Shahsi</t>
  </si>
  <si>
    <t>ZC00608</t>
  </si>
  <si>
    <t>Joel Oliveira</t>
  </si>
  <si>
    <t>Associate Software Engineer</t>
  </si>
  <si>
    <t>Associate</t>
  </si>
  <si>
    <t>Job Training - SVB</t>
  </si>
  <si>
    <t>Main Skill is Java Backend
Basic Javascript, SQL, Python, Java</t>
  </si>
  <si>
    <t>Java, Spring boot</t>
  </si>
  <si>
    <t>SQL, Python, Html, Css, Javascript</t>
  </si>
  <si>
    <t>Java Full Stack</t>
  </si>
  <si>
    <t>ZC00609</t>
  </si>
  <si>
    <t>Shreyes Prabhu Desai</t>
  </si>
  <si>
    <t>Proposed for mERP - New Product Initiative</t>
  </si>
  <si>
    <t>Main Skill is Java Backend
Java , Javascript, sql , Python</t>
  </si>
  <si>
    <t>javascript (node , express ), java (spring, springboot) , sql</t>
  </si>
  <si>
    <t xml:space="preserve">QA,Testing, python , c , html , css </t>
  </si>
  <si>
    <t>ZC00610</t>
  </si>
  <si>
    <t>Shaun Jesus Barreto</t>
  </si>
  <si>
    <t>Main Skill is Jave Frontend
Html, CSS, Figma, (Basic: Javascript, React)</t>
  </si>
  <si>
    <t>HTML, CSS, JavaScript, React, Material UI</t>
  </si>
  <si>
    <t>Node, Express, MongoDB, JWT, bcrypt</t>
  </si>
  <si>
    <t>ZC00611</t>
  </si>
  <si>
    <t>Grishma Ganesh Chodanker</t>
  </si>
  <si>
    <t>QA Engineer I</t>
  </si>
  <si>
    <t>Resigned</t>
  </si>
  <si>
    <t>Main Skill is QA
Python, Java, sql</t>
  </si>
  <si>
    <t>QA, Python, java</t>
  </si>
  <si>
    <t xml:space="preserve">Javascript(basics) </t>
  </si>
  <si>
    <t>ZC00612</t>
  </si>
  <si>
    <t>Suyog Surendra Chari</t>
  </si>
  <si>
    <t>Earlier worked in Accelya Flex select</t>
  </si>
  <si>
    <t>Main Skill is Java Frontend
Javascript, React Native, Basic React,</t>
  </si>
  <si>
    <t>JavaScript, ReactJS, Material UI, HTML, CSS, Next JS</t>
  </si>
  <si>
    <t>Node JS, Express</t>
  </si>
  <si>
    <t>ZC00613</t>
  </si>
  <si>
    <t>Gandhar Nerurkar</t>
  </si>
  <si>
    <t>Main Skill is Java Frontend
Html, CSS, JavaScript, React, Figma</t>
  </si>
  <si>
    <t>JavaScript, React JS</t>
  </si>
  <si>
    <t>ZC00614</t>
  </si>
  <si>
    <t>Charlton Julius Dias</t>
  </si>
  <si>
    <t>Proposed for mERP - New Product Initiative project</t>
  </si>
  <si>
    <t>Main skill is Java Frontend
React, React Native, TypeScript, Tailwind</t>
  </si>
  <si>
    <t>React Native, TypeScript, TailwindCSS, React, Next JS, JavaScript</t>
  </si>
  <si>
    <t>Express , Node JS, MongoDB, Git, TRPC, Prisma, Redux Toolkit, Firebase Auth, Next Auth, Firebase storage, Firebase Firestore, bcrypt, JWT</t>
  </si>
  <si>
    <t xml:space="preserve">3 months </t>
  </si>
  <si>
    <t>ZC00615</t>
  </si>
  <si>
    <t>Vipin Kumar Dixit</t>
  </si>
  <si>
    <t>17 Jan 2024</t>
  </si>
  <si>
    <t>Nodejs, Java Script</t>
  </si>
  <si>
    <t>5 Years 1 Months</t>
  </si>
  <si>
    <t xml:space="preserve">	mongoDB,MySql,Postgres and DynamoDB</t>
  </si>
  <si>
    <t>4 Years 1 Month</t>
  </si>
  <si>
    <t>Node JS Backend</t>
  </si>
  <si>
    <t>ZC00617</t>
  </si>
  <si>
    <t>Ankur Kumar</t>
  </si>
  <si>
    <t>25 Jan 2024</t>
  </si>
  <si>
    <t>Node js, Nest js, Typescript, Javascript, and backend development</t>
  </si>
  <si>
    <t>C, C++(basics), Mongodb, TypeORM, SQL, Neo4j, Amazon S3</t>
  </si>
  <si>
    <t>ZC00623</t>
  </si>
  <si>
    <t>Steeven Raj</t>
  </si>
  <si>
    <t>12 Feb 2024</t>
  </si>
  <si>
    <t xml:space="preserve">Awaiting for the project </t>
  </si>
  <si>
    <t>Main skill is Java Frontend
Java, php, MySql, Spring boot, react</t>
  </si>
  <si>
    <t>Java, php, Mysql,Spring boot, react</t>
  </si>
  <si>
    <t>4 Months</t>
  </si>
  <si>
    <t>Java Fullstack</t>
  </si>
  <si>
    <t>ZC00624</t>
  </si>
  <si>
    <t>Meghana L D</t>
  </si>
  <si>
    <t>Main Skill is Jave Backend
Java,oops,html,css,js,data structures ,python(basics)</t>
  </si>
  <si>
    <t xml:space="preserve"> </t>
  </si>
  <si>
    <t>ZC00625</t>
  </si>
  <si>
    <t xml:space="preserve">B Lohitha </t>
  </si>
  <si>
    <t xml:space="preserve">Main skill is Java Backend
C,Java, Python, sql, html, css, javascript </t>
  </si>
  <si>
    <t>C, Java, Python, sql, html, css, Java Script</t>
  </si>
  <si>
    <t>ZC00626</t>
  </si>
  <si>
    <t>Neeraj Agnihotri</t>
  </si>
  <si>
    <t xml:space="preserve">Main skill is Dotnet
Python,Java script, html and css </t>
  </si>
  <si>
    <t>Phython, Java script ,html &amp; CSS</t>
  </si>
  <si>
    <t>Phython, Java script,html &amp; CSS</t>
  </si>
  <si>
    <t>ZC00627</t>
  </si>
  <si>
    <t>Kumari Ayushi</t>
  </si>
  <si>
    <t>Main skill is Java Frontend
CPP,Python,SQL,Power BI, Microsoft Office, HTML,CSS</t>
  </si>
  <si>
    <t>Flex Select</t>
  </si>
  <si>
    <t>Javascript,Html,Css,Sql,React</t>
  </si>
  <si>
    <t>ZC00629</t>
  </si>
  <si>
    <t xml:space="preserve">Sneha Reddy Mv </t>
  </si>
  <si>
    <t>Main skill is Jave Frontend
Python,html,css</t>
  </si>
  <si>
    <t>Html , CSS , Javscript , React JS , React native,python(Basics)</t>
  </si>
  <si>
    <t>ZC00631</t>
  </si>
  <si>
    <t>Samarjit Mahi</t>
  </si>
  <si>
    <t>Main skill is Java Frontend
C++ ,JAVA, HTML, CSS,  JavaScript,  SQL, API, ReactJs</t>
  </si>
  <si>
    <t>C++, JAVA, HTML, CSS,Java Script, SQL, API, ReactJs, Node JS,React Native</t>
  </si>
  <si>
    <t>ZC00632</t>
  </si>
  <si>
    <t>Amitha Pai</t>
  </si>
  <si>
    <t>Proposed for Kepsla project</t>
  </si>
  <si>
    <t>Main skill is Java Frontend
Programming Languages: C++, Java, Python, Web Development: HTML,CSS,JavaScript,ReactJS, Database: MySQL,MongoDB</t>
  </si>
  <si>
    <t>Programming Languages: C++, Java, Python, Web Development: HTML, CSS, Java Script, ReactJS, Database: MySQL, MongoDB</t>
  </si>
  <si>
    <t>ZC00633</t>
  </si>
  <si>
    <t>Ritik D Shah</t>
  </si>
  <si>
    <t>Main skill is Jave Backend
C / C++ , JAVA , FLUTTER </t>
  </si>
  <si>
    <t>JAVA -SPRING &amp; SPRINGBOOT , C/C++ , FLUTTER</t>
  </si>
  <si>
    <t>ZC00636</t>
  </si>
  <si>
    <t>Siona Cipriano Dcosta</t>
  </si>
  <si>
    <t>Main skill is Java Frontend
Python, Java, C++, JavaScript, HTML, CSS, Git, R</t>
  </si>
  <si>
    <t>Python, Java, c++, Java script, HTML, CSS</t>
  </si>
  <si>
    <t>ZC00637</t>
  </si>
  <si>
    <t>Vaishag S Menon</t>
  </si>
  <si>
    <t>Main Skill is Java Frontend
HTML, Java, Python, data analytics, UI/UX</t>
  </si>
  <si>
    <t>HTML,Java, Python, data analytics, UI/UX</t>
  </si>
  <si>
    <t>ZC00641</t>
  </si>
  <si>
    <t>Sujatha Jereddy</t>
  </si>
  <si>
    <t>19 Feb 2024</t>
  </si>
  <si>
    <t xml:space="preserve">Will be released on 30th April 25 </t>
  </si>
  <si>
    <t>Scrum Implementation, servant leadership, Program management, Azure Devops, Coaching mentoring ,JIRA .</t>
  </si>
  <si>
    <t xml:space="preserve">MongoDB,Angular ,HTML,CSS      </t>
  </si>
  <si>
    <t>ZC00642</t>
  </si>
  <si>
    <t>Saran Kumar G</t>
  </si>
  <si>
    <t>04 Mar 2024</t>
  </si>
  <si>
    <t>Java/
Salesforce CRM, SQL</t>
  </si>
  <si>
    <t>6 years 4 Months</t>
  </si>
  <si>
    <t xml:space="preserve">Salesforce CRM,
APEX,
REST Integration,
LWC,
Angular
</t>
  </si>
  <si>
    <t>ZC00643</t>
  </si>
  <si>
    <t>Priya Singh</t>
  </si>
  <si>
    <t>07 Mar 2024</t>
  </si>
  <si>
    <t xml:space="preserve">React.js,
Typescript
</t>
  </si>
  <si>
    <t>5 Years 6 Months</t>
  </si>
  <si>
    <t>Html, css, 
javascript</t>
  </si>
  <si>
    <t>ZC00645</t>
  </si>
  <si>
    <t>Vaidik Gautam</t>
  </si>
  <si>
    <t>Allocated to  Infusion Pharmacy project effective 8th April 2025</t>
  </si>
  <si>
    <t>Backend development in NodeJS</t>
  </si>
  <si>
    <t>1 Years 8 Months</t>
  </si>
  <si>
    <t xml:space="preserve"> proficient in Python and C++</t>
  </si>
  <si>
    <t>Node JS Developer</t>
  </si>
  <si>
    <t>ZC00646</t>
  </si>
  <si>
    <t>Ranadheesh Paligiri</t>
  </si>
  <si>
    <t>20 Mar 2024</t>
  </si>
  <si>
    <t>a.Allocated(50%) to future project "Accelya SPARK"
b. Allocated(50%) to future project"ADO- lotus"</t>
  </si>
  <si>
    <t>1. HAPI Integration
2. Kepsla Wensite</t>
  </si>
  <si>
    <t>Agile,
Scrum Framework, Kanban, ITIL</t>
  </si>
  <si>
    <t>ZC00647</t>
  </si>
  <si>
    <t>Vinodh Kumar</t>
  </si>
  <si>
    <t>27 Mar 2024</t>
  </si>
  <si>
    <t>Replacement for Archana Kumari(Tulsi's position). Billable date yet to be confirmed</t>
  </si>
  <si>
    <t>Accounts Receivable</t>
  </si>
  <si>
    <t>Accounts payable</t>
  </si>
  <si>
    <t>aCCOUNTS</t>
  </si>
  <si>
    <t>ZC00648</t>
  </si>
  <si>
    <t>Peddireddy Deva Rohit Reddy</t>
  </si>
  <si>
    <t>03 Apr 2024</t>
  </si>
  <si>
    <t>Allocated to the Infusion Pharmacy project effective 8th April 2025</t>
  </si>
  <si>
    <t>Java,Javascript,html and css and SQL</t>
  </si>
  <si>
    <t>Python and Bootstrap</t>
  </si>
  <si>
    <t>ZC00649</t>
  </si>
  <si>
    <t>Abhishek Banerjee</t>
  </si>
  <si>
    <t>08 Apr 2024</t>
  </si>
  <si>
    <t xml:space="preserve">Allocated </t>
  </si>
  <si>
    <t>React Java</t>
  </si>
  <si>
    <t xml:space="preserve">9 Years </t>
  </si>
  <si>
    <t>Php</t>
  </si>
  <si>
    <t>Java Full stack</t>
  </si>
  <si>
    <t>ZC00650</t>
  </si>
  <si>
    <t xml:space="preserve">Megha B H </t>
  </si>
  <si>
    <t>Selenium,Corejava,cucumber,API testing using Rest Assured</t>
  </si>
  <si>
    <t>ZC00651</t>
  </si>
  <si>
    <t>Priyanka Vora</t>
  </si>
  <si>
    <t>a) Belongs to Starfleet team b) Billable from 2nd May 24</t>
  </si>
  <si>
    <t xml:space="preserve">Onverity </t>
  </si>
  <si>
    <t>React Js, Redux,
Javascript,Typescript, HTML, CSS, Jest, Enzyme,
Github, Bitbucket, Jira, Trello</t>
  </si>
  <si>
    <t>Node Js, Express JS, Webpack,MongoDB</t>
  </si>
  <si>
    <t>ZC00656</t>
  </si>
  <si>
    <t>Marka Surendhar</t>
  </si>
  <si>
    <t>23 Apr 2024</t>
  </si>
  <si>
    <t>HTML, CSS, JavaScript &amp; React JS</t>
  </si>
  <si>
    <t>3 Months</t>
  </si>
  <si>
    <t>ZC00657</t>
  </si>
  <si>
    <t>Ratikant Rautra</t>
  </si>
  <si>
    <t>24 Apr 2024</t>
  </si>
  <si>
    <t>Asp.net , Asp.net Core,C#, SQL Server,Javascript,Jquery,WebAPI</t>
  </si>
  <si>
    <t>14 Years</t>
  </si>
  <si>
    <t>AWS, Docker, Angular/React</t>
  </si>
  <si>
    <t>1 Month</t>
  </si>
  <si>
    <t>ZC00658</t>
  </si>
  <si>
    <t>29 Apr 2024</t>
  </si>
  <si>
    <t>Sr. Product Manager</t>
  </si>
  <si>
    <t>Zapminds - KePSLA NLP</t>
  </si>
  <si>
    <t>Product Management, Product strategy</t>
  </si>
  <si>
    <t>11 Years 2 Months</t>
  </si>
  <si>
    <t>Data Analytics, Training and Development</t>
  </si>
  <si>
    <t>Senior Product Manager</t>
  </si>
  <si>
    <t>ZC00661</t>
  </si>
  <si>
    <t>Ajay Kumar Jain</t>
  </si>
  <si>
    <t>02 May 2024</t>
  </si>
  <si>
    <t>NBLY</t>
  </si>
  <si>
    <t>C#,Asp.net core,Asp.net webApi,Asp.Net core MVC,Sql Server,Entity Framework,Linq,Microsoft Azure Cloud,Azure Cosmos DB,Ado.Net,Angular 8+,Javascript,Rancher,Azure ADO,Azure Function</t>
  </si>
  <si>
    <t>Html5,CSS,Bootstrap,Jquery,Angular JS,Asp.net</t>
  </si>
  <si>
    <t>ZC00665</t>
  </si>
  <si>
    <t>Vidhi Jani Drupadbhai</t>
  </si>
  <si>
    <t>09 May 2024</t>
  </si>
  <si>
    <t>Node JS- sails JS, Express JS</t>
  </si>
  <si>
    <t>React JS, AWS - learning phase</t>
  </si>
  <si>
    <t xml:space="preserve">Node JS </t>
  </si>
  <si>
    <t>ZC00667</t>
  </si>
  <si>
    <t>Divya Bhardwaj</t>
  </si>
  <si>
    <t>13 May 2024</t>
  </si>
  <si>
    <t>Systems Team</t>
  </si>
  <si>
    <t>Agile Project Management, Scrum, Sprint Planning, Requirement Gathering, Excel,PPT, SQL, ADO, User Stories, Conflict Resolution</t>
  </si>
  <si>
    <t>Backlog Refinement, SDLC, Continuous Improvement, Kanban, Active learning, Metrics &amp; Reporting,</t>
  </si>
  <si>
    <t>ZC00669</t>
  </si>
  <si>
    <t>Ashish Singh</t>
  </si>
  <si>
    <t>15 May 2024</t>
  </si>
  <si>
    <t>Javascript, Node.JS,
MongoDB, React.JS / Next.JS,
AWS (Services),
Websockets, RPC and GRPC</t>
  </si>
  <si>
    <t>5 Years 11 Months</t>
  </si>
  <si>
    <t>Client Management,
Database architecture, design and security</t>
  </si>
  <si>
    <t>ZC00672</t>
  </si>
  <si>
    <t>Shweta G</t>
  </si>
  <si>
    <t>20 May 2024</t>
  </si>
  <si>
    <t>Accelya</t>
  </si>
  <si>
    <t>Devops, AWS, Terraform,  Git-Lab</t>
  </si>
  <si>
    <t>ZC00673</t>
  </si>
  <si>
    <t>Rashmi Ranjan Bastia</t>
  </si>
  <si>
    <t xml:space="preserve">Will be released on 31st Mar 25 </t>
  </si>
  <si>
    <t>javascript, html, css etc</t>
  </si>
  <si>
    <t>UI Developer</t>
  </si>
  <si>
    <t>ZC00675</t>
  </si>
  <si>
    <t>Kunal Mewade</t>
  </si>
  <si>
    <t>23 May 2024</t>
  </si>
  <si>
    <t>a) Functional testing , UI Automation Testing(Selenium webdriver with java)
b) API webservices  testing (postman)</t>
  </si>
  <si>
    <t>a)Backend API automation (Rest Assured ) 
b) Third party integration that required for UI and API testing like maven , git, github , testng, CI (jenkins)</t>
  </si>
  <si>
    <t>ZC00676</t>
  </si>
  <si>
    <t>Mule Bharat Narasimha Reddy</t>
  </si>
  <si>
    <t>Billed as replacement of Udaykiran</t>
  </si>
  <si>
    <t>Scrum Master,Agile Project Management</t>
  </si>
  <si>
    <t xml:space="preserve">	Project Manager/QA Test Manager</t>
  </si>
  <si>
    <t>Scrum master</t>
  </si>
  <si>
    <t>ZC00682</t>
  </si>
  <si>
    <t>Unmesh Kadam</t>
  </si>
  <si>
    <t>17 Jun 2024</t>
  </si>
  <si>
    <t xml:space="preserve">Unmesh is working on VN migration
 </t>
  </si>
  <si>
    <t>HTML, CSS, JavaScript, ReactJS, NodeJS, MySQL, PostgreSQL</t>
  </si>
  <si>
    <t>2 Years 1 Month</t>
  </si>
  <si>
    <t>AWS Cloud Services</t>
  </si>
  <si>
    <t>NodeJS, Javascript</t>
  </si>
  <si>
    <t>ZC00686</t>
  </si>
  <si>
    <t>Thadicherla Ganesh</t>
  </si>
  <si>
    <t>24 Jun 2024</t>
  </si>
  <si>
    <t>5 Years 1 Month</t>
  </si>
  <si>
    <t xml:space="preserve">Manual Testing </t>
  </si>
  <si>
    <t>ZC00689</t>
  </si>
  <si>
    <t>Suresh Balaji R</t>
  </si>
  <si>
    <t>04 Jul 2024</t>
  </si>
  <si>
    <t>Frontend development in React JS</t>
  </si>
  <si>
    <t>5 Years 2 Months</t>
  </si>
  <si>
    <t>React native and Node JS</t>
  </si>
  <si>
    <t>ZC00691</t>
  </si>
  <si>
    <t>Nikita Singh</t>
  </si>
  <si>
    <t>08 Jul 2024</t>
  </si>
  <si>
    <t>UX Designer</t>
  </si>
  <si>
    <t>UI/UX Designer</t>
  </si>
  <si>
    <t xml:space="preserve">Creative Design        </t>
  </si>
  <si>
    <t>ZC00694</t>
  </si>
  <si>
    <t>Lavanya Uppala</t>
  </si>
  <si>
    <t>22 Jul 2024</t>
  </si>
  <si>
    <t>Replacement of Jyoti Tiwari</t>
  </si>
  <si>
    <t>ZC00698</t>
  </si>
  <si>
    <t>Rahul Mekala</t>
  </si>
  <si>
    <t>01 Aug 2024</t>
  </si>
  <si>
    <t>C#,.Net Core, Web API, MSSQL</t>
  </si>
  <si>
    <t>Angular, Azure, ADB2C</t>
  </si>
  <si>
    <t xml:space="preserve">.NET Practice </t>
  </si>
  <si>
    <t>ZC00701</t>
  </si>
  <si>
    <t>09 Aug 2024</t>
  </si>
  <si>
    <t xml:space="preserve">Resigned </t>
  </si>
  <si>
    <t xml:space="preserve">Phoenix </t>
  </si>
  <si>
    <t>Java, Selenium, Javascript, Cypress, Cucumber, SQL, RestAssured API</t>
  </si>
  <si>
    <t>Cucumber</t>
  </si>
  <si>
    <t>ZC00702</t>
  </si>
  <si>
    <t>Anuradha N</t>
  </si>
  <si>
    <t>12 Aug 2024</t>
  </si>
  <si>
    <t>Associate Product Manager</t>
  </si>
  <si>
    <t>Product Management,
Business Analysis</t>
  </si>
  <si>
    <t xml:space="preserve">Client Onboarding </t>
  </si>
  <si>
    <t>Product Owner</t>
  </si>
  <si>
    <t>Product Mgt</t>
  </si>
  <si>
    <t>ZC00704</t>
  </si>
  <si>
    <t>Palegaru Chandrababu Naidu</t>
  </si>
  <si>
    <t>Not onboarded to NBLY</t>
  </si>
  <si>
    <t>React.js and Javascript</t>
  </si>
  <si>
    <t>Redux(3 years),material Ui(2 years),Bootstrap(3 years),TypeScript(1 year),Testing(1.5 years)</t>
  </si>
  <si>
    <t xml:space="preserve">FrontEnd / Fullstack (javascript) </t>
  </si>
  <si>
    <t>ZC00707</t>
  </si>
  <si>
    <t>Rajitha Gidijala</t>
  </si>
  <si>
    <t>20 Aug 2024</t>
  </si>
  <si>
    <t>Data Engineer I</t>
  </si>
  <si>
    <t>Chatbot</t>
  </si>
  <si>
    <t>SQL, Python, Pandas, Numpy
ETL Process,
AWSS3,        Apache Spark</t>
  </si>
  <si>
    <t>Power BI
Incorta
Snowflake
Looker</t>
  </si>
  <si>
    <t>Data Analytics</t>
  </si>
  <si>
    <t>ZC00708</t>
  </si>
  <si>
    <t>Thirumalesh Gajula</t>
  </si>
  <si>
    <t>14 Aug 2024</t>
  </si>
  <si>
    <t xml:space="preserve"> Java , Hibernate, Spring MVC, Spring Boot , Microservices , MySQL</t>
  </si>
  <si>
    <t>Python , Angular</t>
  </si>
  <si>
    <t>ZC00709</t>
  </si>
  <si>
    <t>Suresh Kuruva</t>
  </si>
  <si>
    <t>19 Aug 2024</t>
  </si>
  <si>
    <t xml:space="preserve">SDET I </t>
  </si>
  <si>
    <t xml:space="preserve">Flex select  </t>
  </si>
  <si>
    <t>Selenium, Playwright, Appium, Java, UI Testing, API Testing, Mobile Testing, Git</t>
  </si>
  <si>
    <t>1 years 6 months</t>
  </si>
  <si>
    <t> WebDriverIO, Javascript, SpringBoot, MySQL, Jenkins</t>
  </si>
  <si>
    <t>ZC00711</t>
  </si>
  <si>
    <t>Shaily Tekchandani</t>
  </si>
  <si>
    <t>26 Aug 2024</t>
  </si>
  <si>
    <t>Got released from Route Optimization Project</t>
  </si>
  <si>
    <t>.net, C#, REST API's</t>
  </si>
  <si>
    <t>SQL, AWS, JIRA</t>
  </si>
  <si>
    <t>ZC00712</t>
  </si>
  <si>
    <t>Pitani Hamsaraj</t>
  </si>
  <si>
    <t>02 Sep 2024</t>
  </si>
  <si>
    <t>React.js, Next.js, and Node.js</t>
  </si>
  <si>
    <t xml:space="preserve">	
Express,Nodejs,mongodb,aws </t>
  </si>
  <si>
    <t>ZC00714</t>
  </si>
  <si>
    <t>Monica Verghese</t>
  </si>
  <si>
    <t>09 Sep 2024</t>
  </si>
  <si>
    <t>Billable as Sai Varun's replacement</t>
  </si>
  <si>
    <t>IT Helpdesk</t>
  </si>
  <si>
    <t>Troubleshooting</t>
  </si>
  <si>
    <t>Customer handling</t>
  </si>
  <si>
    <t>IT Support</t>
  </si>
  <si>
    <t xml:space="preserve"> IT &amp; Service </t>
  </si>
  <si>
    <t>ZC00715</t>
  </si>
  <si>
    <t>Uma Vigneshwar Bhat</t>
  </si>
  <si>
    <t>23 Sep 2024</t>
  </si>
  <si>
    <t>SDET Lead Engineer</t>
  </si>
  <si>
    <t>Pod</t>
  </si>
  <si>
    <t>10 Years 6 Months</t>
  </si>
  <si>
    <t>Automation Testing- Web UI automation , Mobile Automation(Android, iOS) ,RESTFul API automation using Katalon Studio
&gt;&gt;Web UI automation using selenium WebDriver,
&gt;&gt;API testing both RestFul services and SOAP services using
 Postman, SOAP UI tools respectively,
&gt;&gt;RESTAssured Automation, SOAP automation,
 &gt;&gt;Performance Testing using JMeter"</t>
  </si>
  <si>
    <t>7 Years 6 Months</t>
  </si>
  <si>
    <t>"&gt;&gt;Mentoring, Designing curriculum/syllabi,Administartion,
&gt;&gt; lecturing,
&gt;&gt; Admissions and Marketing,
&gt;&gt;Corporate Trainer for QA and Software Testing (Training and development),Freelancer for QA."</t>
  </si>
  <si>
    <t>3 Years 3 Months</t>
  </si>
  <si>
    <t>ZC00718</t>
  </si>
  <si>
    <t>A Rakshith</t>
  </si>
  <si>
    <t>Learning Python</t>
  </si>
  <si>
    <t>Python</t>
  </si>
  <si>
    <t>ZC00719</t>
  </si>
  <si>
    <t>Shikha Borbora</t>
  </si>
  <si>
    <t>Robin's replacement, will be billed once he exits</t>
  </si>
  <si>
    <t>2 years 5 months</t>
  </si>
  <si>
    <t>Financial Reporting</t>
  </si>
  <si>
    <t>Invoice Management</t>
  </si>
  <si>
    <t>ZC00721</t>
  </si>
  <si>
    <t>Namitha T S</t>
  </si>
  <si>
    <t>01 Oct 2024</t>
  </si>
  <si>
    <t>Python full stack</t>
  </si>
  <si>
    <t xml:space="preserve">	FrontEnd / Fullstack (javascript) </t>
  </si>
  <si>
    <t>ZC00722</t>
  </si>
  <si>
    <t>Bhumika Mallapur</t>
  </si>
  <si>
    <t>ZC00723</t>
  </si>
  <si>
    <t>Syed Akbar</t>
  </si>
  <si>
    <t>04 Oct 2024</t>
  </si>
  <si>
    <t>Temporarily considered for the KePSLACore project and remains available for any urgent Client requirements.</t>
  </si>
  <si>
    <t>Vue.js, React.js,
JS, TS, node, Jest</t>
  </si>
  <si>
    <t xml:space="preserve"> Cypress, Puppeteer,
Node JS, Firebase</t>
  </si>
  <si>
    <t>ZC00725</t>
  </si>
  <si>
    <t>Varun Kumar</t>
  </si>
  <si>
    <t>24 Oct 2024</t>
  </si>
  <si>
    <t>IBS</t>
  </si>
  <si>
    <t>IBS- Expedia</t>
  </si>
  <si>
    <t>Java, Spring boot , REST API, Kotlin , AWS</t>
  </si>
  <si>
    <t>Kotlin , Android SDK - GCP, Firebase</t>
  </si>
  <si>
    <t>ZC00727</t>
  </si>
  <si>
    <t>Bharath Ram</t>
  </si>
  <si>
    <t>01 Nov 2024</t>
  </si>
  <si>
    <t>Sr. SDET Engineer</t>
  </si>
  <si>
    <t>Allocated from 1st April 25 till 30th June 25</t>
  </si>
  <si>
    <t>Flt Testing</t>
  </si>
  <si>
    <t>Automation scripting using selenium for UI &amp; RestAssued for API testing</t>
  </si>
  <si>
    <t>ZC00728</t>
  </si>
  <si>
    <t>Raghu B</t>
  </si>
  <si>
    <t>18 Nov 2024</t>
  </si>
  <si>
    <t>Android app</t>
  </si>
  <si>
    <t>Android , kotlin, Java</t>
  </si>
  <si>
    <t>Android application developer</t>
  </si>
  <si>
    <t>ZC00731</t>
  </si>
  <si>
    <t>H Goutham Pratham</t>
  </si>
  <si>
    <t>Senior Devops Engineer</t>
  </si>
  <si>
    <t>Aws, Linux, docker,jenkins, K8s, Terraform, Github, promotheus, Grafana</t>
  </si>
  <si>
    <t>Ansible, Github actions, Shellscripting</t>
  </si>
  <si>
    <t>ZC00732</t>
  </si>
  <si>
    <t>Rahul Kumar Mishra</t>
  </si>
  <si>
    <t xml:space="preserve">	iOS, Swift, Objective-C</t>
  </si>
  <si>
    <t>11.1 yrs, 6yrs, 5.1yrs</t>
  </si>
  <si>
    <t>React Native, Angular, kotlin</t>
  </si>
  <si>
    <t>IOS Developer</t>
  </si>
  <si>
    <t>ZC00733</t>
  </si>
  <si>
    <t>Vishwas Kashyap</t>
  </si>
  <si>
    <t>Java, HTML, MYSQL</t>
  </si>
  <si>
    <t>ZC00734</t>
  </si>
  <si>
    <t>Rohil Pravin Utture</t>
  </si>
  <si>
    <t>Python, Java, SQL, Tableau, HTML, CSS, MERN</t>
  </si>
  <si>
    <t>Java</t>
  </si>
  <si>
    <t>ZC00735</t>
  </si>
  <si>
    <t>Deepika Surisetti</t>
  </si>
  <si>
    <t>HTML, CSS, SQL</t>
  </si>
  <si>
    <t>Frontend</t>
  </si>
  <si>
    <t>FrontEnd / Fullstack (javascript)</t>
  </si>
  <si>
    <t>ZC00736</t>
  </si>
  <si>
    <t>Banisetti Shreyak</t>
  </si>
  <si>
    <t>Python, AWS</t>
  </si>
  <si>
    <t>Data science</t>
  </si>
  <si>
    <t>ZC00737</t>
  </si>
  <si>
    <t>Padigela Suraj</t>
  </si>
  <si>
    <t>ZC00738</t>
  </si>
  <si>
    <t>Safa Mahreen</t>
  </si>
  <si>
    <t>Python &amp; React</t>
  </si>
  <si>
    <t>ZC00739</t>
  </si>
  <si>
    <t>Shambuni Sravyasri</t>
  </si>
  <si>
    <t>Java, and SQL</t>
  </si>
  <si>
    <t>ZC00740</t>
  </si>
  <si>
    <t>Rudrarapu Kavya</t>
  </si>
  <si>
    <t>ZC00741</t>
  </si>
  <si>
    <t>Dannaram Manasa</t>
  </si>
  <si>
    <t>Python, Node, AWS</t>
  </si>
  <si>
    <t>ZC00742</t>
  </si>
  <si>
    <t>Tahniyath Fathima</t>
  </si>
  <si>
    <t>Java, Python</t>
  </si>
  <si>
    <t>ZC00743</t>
  </si>
  <si>
    <t>Kallagunta Poojitha</t>
  </si>
  <si>
    <t>ZC00744</t>
  </si>
  <si>
    <t>Nallagunta Sarayu</t>
  </si>
  <si>
    <t>ZC00745</t>
  </si>
  <si>
    <t xml:space="preserve">Mandiga Sai Sheshirudh </t>
  </si>
  <si>
    <t>ZC00746</t>
  </si>
  <si>
    <t>Deekshitha Rangoju</t>
  </si>
  <si>
    <t>Python and SQL</t>
  </si>
  <si>
    <t>ZC00747</t>
  </si>
  <si>
    <t>Shreya S Rao</t>
  </si>
  <si>
    <t>Python, SQL, AI/ML</t>
  </si>
  <si>
    <t>ZC00748</t>
  </si>
  <si>
    <t>Chethan S</t>
  </si>
  <si>
    <t>ZC00756</t>
  </si>
  <si>
    <t>Kaddenor Anthony</t>
  </si>
  <si>
    <t>Help desk</t>
  </si>
  <si>
    <t>ZC0079</t>
  </si>
  <si>
    <t>B Janakiram Reddy</t>
  </si>
  <si>
    <t>27 Jul 2018</t>
  </si>
  <si>
    <t>React Js, Javascript, Angular ,Wodpress,jquery,Typescript,Nodejs</t>
  </si>
  <si>
    <t xml:space="preserve">6 years </t>
  </si>
  <si>
    <t>AWS-Cognito,EC2, MongoDB,Mysql</t>
  </si>
  <si>
    <t>ZCC001</t>
  </si>
  <si>
    <t>Sonam Shah</t>
  </si>
  <si>
    <t>Senior Software Engineer</t>
  </si>
  <si>
    <t>Product Acceleration project</t>
  </si>
  <si>
    <t>Product Acceleration</t>
  </si>
  <si>
    <t>Canada</t>
  </si>
  <si>
    <t>Node JS, Php, Laravel</t>
  </si>
  <si>
    <t>Angular,  React</t>
  </si>
  <si>
    <t>ZCC002</t>
  </si>
  <si>
    <t xml:space="preserve">Manoj Kumar Manoharan </t>
  </si>
  <si>
    <t>C, C++</t>
  </si>
  <si>
    <t>12 Years</t>
  </si>
  <si>
    <t xml:space="preserve">Python, Shell scripting, HTML, CSS, Javascript </t>
  </si>
  <si>
    <t>Backend</t>
  </si>
  <si>
    <t>ZCC003</t>
  </si>
  <si>
    <t>Mandhakini Vasudevan</t>
  </si>
  <si>
    <t xml:space="preserve">Product Owner </t>
  </si>
  <si>
    <t>Product Management</t>
  </si>
  <si>
    <t>Agile, Scaled Agile Framework, Jira, Confluence, GitHub, Multi-Cloud, Scrum</t>
  </si>
  <si>
    <t>ZCU0004</t>
  </si>
  <si>
    <t>Sneha Reddy Mag</t>
  </si>
  <si>
    <t>01 Sep 2019</t>
  </si>
  <si>
    <t>Adarsh Srikanthan</t>
  </si>
  <si>
    <t>a.Allocated to future project Accelya SPARK
b. Allocated to future project "Open Dental"</t>
  </si>
  <si>
    <t>Data Analyst</t>
  </si>
  <si>
    <t>Data Analysis, Business Analytics</t>
  </si>
  <si>
    <t xml:space="preserve"> Power BI, Tableau, SSRS, Domo</t>
  </si>
  <si>
    <t>ZCU0005</t>
  </si>
  <si>
    <t>28 Oct 2019</t>
  </si>
  <si>
    <t>Lead, BI &amp;amp; Analytics</t>
  </si>
  <si>
    <t>Prasanth</t>
  </si>
  <si>
    <t>SQL, AWS Cloud Services</t>
  </si>
  <si>
    <t>SparkSQL, Python</t>
  </si>
  <si>
    <t>ZCU0011</t>
  </si>
  <si>
    <t>01 Jan 2022</t>
  </si>
  <si>
    <t>Allocated(50%) to infusion pharmacy and Accelya Spark project as well</t>
  </si>
  <si>
    <t>Java,C#,JavaScript
Selenium,Katalon ,Cypress,SpecFlow,Postman,Rest Assured</t>
  </si>
  <si>
    <t>JMeter,Python,Azure Cloud,AWS</t>
  </si>
  <si>
    <t>ZCU0012</t>
  </si>
  <si>
    <t>Balaji Janapati</t>
  </si>
  <si>
    <t>13 Feb 2023</t>
  </si>
  <si>
    <t>Sai konda</t>
  </si>
  <si>
    <t>Quillion</t>
  </si>
  <si>
    <t xml:space="preserve">Oracle EDMCS, Oracle fusion analytics , DWH, Informatics , ODI, SSIS Oracle integration cloud, Oracle database , Oracle cloud erp(otbi and bip) data analytics </t>
  </si>
  <si>
    <t>ZCU0013</t>
  </si>
  <si>
    <t>Eswaran Pragasam</t>
  </si>
  <si>
    <t>05 Jan 2015</t>
  </si>
  <si>
    <t xml:space="preserve"> Javascript(React, Angular)</t>
  </si>
  <si>
    <t> NodeJS</t>
  </si>
  <si>
    <t>FrontEnd</t>
  </si>
  <si>
    <t>ZCU0019</t>
  </si>
  <si>
    <t>Nagavarshini Surapaneni</t>
  </si>
  <si>
    <t>29 Jan 2024</t>
  </si>
  <si>
    <t>Allocated to future project "Open Dental"</t>
  </si>
  <si>
    <t>NodeJS, JavaScript, Python &amp; ReactJS</t>
  </si>
  <si>
    <t>8 Months</t>
  </si>
  <si>
    <t>Typescript.</t>
  </si>
  <si>
    <t>ZCU0023</t>
  </si>
  <si>
    <t>Bradley Walls</t>
  </si>
  <si>
    <t>18 Mar 2024</t>
  </si>
  <si>
    <t xml:space="preserve">a. Allocated(50%) to Infusion Pharmacy project effective 8th April 2025 
b. Allocated(50%) to future project "ADO - Lotus"
</t>
  </si>
  <si>
    <t>Product Vision and Strategy, 
Stakeholder Management,
User Experience (UX)</t>
  </si>
  <si>
    <t>Technical Understanding
'Analytical Skills, 
Market Research</t>
  </si>
  <si>
    <t>ZCU0025</t>
  </si>
  <si>
    <t>Andrew Surratt</t>
  </si>
  <si>
    <t>01 Apr 2024</t>
  </si>
  <si>
    <t>Node JS</t>
  </si>
  <si>
    <t>ZCU0028</t>
  </si>
  <si>
    <t>Sruthi Buddha- C</t>
  </si>
  <si>
    <t>10 Jun 2024</t>
  </si>
  <si>
    <t>Allocated to future project "ADO-Lotus'</t>
  </si>
  <si>
    <t>.Net core</t>
  </si>
  <si>
    <t>ZCU0034</t>
  </si>
  <si>
    <t>Sushma Chimmili</t>
  </si>
  <si>
    <t>Intern</t>
  </si>
  <si>
    <t>ZCU0036</t>
  </si>
  <si>
    <t>Ravi Kumar Kukutla</t>
  </si>
  <si>
    <t>Solution Architect</t>
  </si>
  <si>
    <t>he is working for TD bank via Quillion</t>
  </si>
  <si>
    <t xml:space="preserve">primary skills:SQL,ETL,Bigdata/Hadoop
 </t>
  </si>
  <si>
    <t xml:space="preserve">Secondary skills: Python,Pyspark,AWS,Unix 
 </t>
  </si>
  <si>
    <t>ZCU0037</t>
  </si>
  <si>
    <t>Deepak Reddy Petapalle</t>
  </si>
  <si>
    <t>a.Assigned to the Infusion Pharmacy project effective 8th April 2025 and also working in Zapminds
b. Allocated to Future project Open Dental</t>
  </si>
  <si>
    <t>Python, SQL, Spark, hadoop, Hive, Greenplum, Apache Airflow, Pandas, GIT, AWS, Tableau</t>
  </si>
  <si>
    <t>ZCU0039</t>
  </si>
  <si>
    <t>Damanpreet Kaur</t>
  </si>
  <si>
    <t>Senior Developer</t>
  </si>
  <si>
    <t>ReactNativ</t>
  </si>
  <si>
    <t>6+ Years</t>
  </si>
  <si>
    <t>ZCU0040</t>
  </si>
  <si>
    <t>Sriharsha Dokula</t>
  </si>
  <si>
    <t>ZCUC0016</t>
  </si>
  <si>
    <t>Jay Shankar</t>
  </si>
  <si>
    <t>06 Mar 2023</t>
  </si>
  <si>
    <t>Oracle Financial Consultant</t>
  </si>
  <si>
    <t>Creoal</t>
  </si>
  <si>
    <t>Oracle ERP Applications Techno-Functional</t>
  </si>
  <si>
    <t>30 Years</t>
  </si>
  <si>
    <t xml:space="preserve"> SQL, PL/SQL, Unix/Linux/Java</t>
  </si>
  <si>
    <t>ZC00763</t>
  </si>
  <si>
    <t>Aryan Goud</t>
  </si>
  <si>
    <t>Associate- UX Designer</t>
  </si>
  <si>
    <t>UX</t>
  </si>
  <si>
    <t>Dovetail, Miro, Figma, and Notion</t>
  </si>
  <si>
    <t>ZCU0041</t>
  </si>
  <si>
    <t>Prachi Pandey</t>
  </si>
  <si>
    <t>ZCU0042</t>
  </si>
  <si>
    <t>Kevin Delong</t>
  </si>
  <si>
    <t>ZCU0014</t>
  </si>
  <si>
    <t>Sergey Kichuk</t>
  </si>
  <si>
    <t>ARC Support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</si>
</sst>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Daytona"/>
      <family val="2"/>
    </font>
    <font>
      <b/>
      <sz val="10"/>
      <color theme="1"/>
      <name val="Daytona"/>
      <family val="2"/>
    </font>
    <font>
      <b/>
      <sz val="10"/>
      <name val="Daytona"/>
      <family val="2"/>
    </font>
    <font>
      <sz val="9"/>
      <color rgb="FF000000"/>
      <name val="Roboto"/>
    </font>
    <font>
      <sz val="10"/>
      <color theme="1"/>
      <name val="Arial"/>
      <family val="2"/>
    </font>
    <font>
      <sz val="10"/>
      <color theme="1"/>
      <name val="Daytona"/>
    </font>
    <font>
      <sz val="10"/>
      <color theme="1"/>
      <name val="Roboto"/>
    </font>
    <font>
      <sz val="11"/>
      <color theme="1"/>
      <name val="Aptos Narrow"/>
      <family val="2"/>
    </font>
    <font>
      <sz val="10"/>
      <color rgb="FF000000"/>
      <name val="Daytona"/>
      <family val="2"/>
    </font>
    <font>
      <sz val="12"/>
      <color rgb="FF000000"/>
      <name val="Aptos"/>
      <family val="2"/>
    </font>
    <font>
      <sz val="10"/>
      <name val="Arial"/>
      <family val="2"/>
    </font>
    <font>
      <sz val="10"/>
      <name val="Daytona"/>
      <family val="2"/>
    </font>
    <font>
      <sz val="10"/>
      <color indexed="8"/>
      <name val="Daytona"/>
      <family val="2"/>
    </font>
    <font>
      <sz val="11"/>
      <color rgb="FF000000"/>
      <name val="Aptos Narrow"/>
      <family val="2"/>
    </font>
    <font>
      <sz val="11"/>
      <color theme="1"/>
      <name val="Daytona"/>
      <family val="2"/>
    </font>
    <font>
      <sz val="11"/>
      <color theme="1"/>
      <name val="Aptos"/>
      <family val="2"/>
    </font>
    <font>
      <sz val="9"/>
      <color rgb="FF000000"/>
      <name val="Arial"/>
      <family val="2"/>
    </font>
    <font>
      <sz val="10"/>
      <name val="Daytona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/>
  </cellStyleXfs>
  <cellXfs count="7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8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3" fillId="0" borderId="0" xfId="0" applyFont="1"/>
    <xf numFmtId="0" fontId="2" fillId="8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/>
    <xf numFmtId="0" fontId="3" fillId="0" borderId="1" xfId="0" applyFont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9" fontId="2" fillId="0" borderId="0" xfId="1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9" fontId="2" fillId="0" borderId="0" xfId="1" applyFont="1" applyAlignment="1"/>
    <xf numFmtId="0" fontId="9" fillId="0" borderId="1" xfId="0" applyFont="1" applyBorder="1"/>
    <xf numFmtId="0" fontId="7" fillId="0" borderId="1" xfId="0" applyFont="1" applyBorder="1" applyAlignment="1">
      <alignment vertical="center" wrapText="1"/>
    </xf>
    <xf numFmtId="1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2" fillId="0" borderId="1" xfId="0" quotePrefix="1" applyNumberFormat="1" applyFont="1" applyBorder="1" applyAlignment="1">
      <alignment horizontal="center" vertical="center"/>
    </xf>
    <xf numFmtId="0" fontId="13" fillId="0" borderId="1" xfId="2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5" fillId="0" borderId="1" xfId="0" applyFont="1" applyBorder="1"/>
    <xf numFmtId="15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17" fillId="0" borderId="1" xfId="0" applyFont="1" applyBorder="1"/>
    <xf numFmtId="0" fontId="13" fillId="0" borderId="1" xfId="2" applyFont="1" applyBorder="1"/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18" fillId="0" borderId="1" xfId="0" applyFont="1" applyBorder="1" applyAlignment="1">
      <alignment vertical="center"/>
    </xf>
    <xf numFmtId="1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3" fillId="8" borderId="1" xfId="2" applyFont="1" applyFill="1" applyBorder="1" applyAlignment="1">
      <alignment vertical="center"/>
    </xf>
    <xf numFmtId="15" fontId="7" fillId="0" borderId="1" xfId="0" applyNumberFormat="1" applyFont="1" applyBorder="1" applyAlignment="1">
      <alignment horizontal="center" vertical="center"/>
    </xf>
    <xf numFmtId="0" fontId="19" fillId="0" borderId="1" xfId="2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0" xfId="0" applyNumberFormat="1" applyFont="1"/>
    <xf numFmtId="0" fontId="7" fillId="0" borderId="0" xfId="0" applyFont="1"/>
  </cellXfs>
  <cellStyles count="3">
    <cellStyle name="Normal" xfId="0" builtinId="0"/>
    <cellStyle name="Normal 2" xfId="2" xr:uid="{191081DC-53A9-41B4-9B53-633DA6D75D14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"/>
  <sheetViews>
    <sheetView tabSelected="1" workbookViewId="0">
      <selection sqref="A1:XFD1048576"/>
    </sheetView>
  </sheetViews>
  <sheetFormatPr defaultRowHeight="15"/>
  <cols>
    <col min="1" max="1" width="10.85546875" bestFit="1" customWidth="1"/>
    <col min="2" max="2" width="37.28515625" bestFit="1" customWidth="1"/>
    <col min="3" max="3" width="12.85546875" bestFit="1" customWidth="1"/>
    <col min="4" max="4" width="34.5703125" bestFit="1" customWidth="1"/>
    <col min="5" max="5" width="30.140625" bestFit="1" customWidth="1"/>
    <col min="6" max="6" width="10" bestFit="1" customWidth="1"/>
    <col min="7" max="7" width="18.85546875" bestFit="1" customWidth="1"/>
    <col min="8" max="8" width="112.42578125" bestFit="1" customWidth="1"/>
    <col min="9" max="9" width="263.140625" bestFit="1" customWidth="1"/>
    <col min="10" max="10" width="34.5703125" bestFit="1" customWidth="1"/>
    <col min="11" max="11" width="29.85546875" bestFit="1" customWidth="1"/>
    <col min="12" max="12" width="19.85546875" bestFit="1" customWidth="1"/>
    <col min="13" max="13" width="16.85546875" bestFit="1" customWidth="1"/>
    <col min="14" max="14" width="23.140625" bestFit="1" customWidth="1"/>
    <col min="15" max="15" width="9.85546875" bestFit="1" customWidth="1"/>
    <col min="16" max="16" width="17.5703125" bestFit="1" customWidth="1"/>
    <col min="17" max="17" width="19.140625" bestFit="1" customWidth="1"/>
    <col min="18" max="18" width="265" bestFit="1" customWidth="1"/>
    <col min="19" max="19" width="196.7109375" bestFit="1" customWidth="1"/>
    <col min="20" max="20" width="260.42578125" bestFit="1" customWidth="1"/>
    <col min="21" max="21" width="67.28515625" bestFit="1" customWidth="1"/>
    <col min="22" max="22" width="30.7109375" bestFit="1" customWidth="1"/>
    <col min="23" max="23" width="38.5703125" bestFit="1" customWidth="1"/>
    <col min="24" max="24" width="13.140625" bestFit="1" customWidth="1"/>
    <col min="25" max="25" width="16.85546875" bestFit="1" customWidth="1"/>
  </cols>
  <sheetData>
    <row r="1" spans="1:25" ht="16.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7" t="s">
        <v>15</v>
      </c>
      <c r="Q1" s="8" t="s">
        <v>16</v>
      </c>
      <c r="R1" s="5" t="s">
        <v>17</v>
      </c>
      <c r="S1" s="9" t="s">
        <v>18</v>
      </c>
      <c r="T1" s="5" t="s">
        <v>19</v>
      </c>
      <c r="U1" s="10" t="s">
        <v>20</v>
      </c>
      <c r="V1" s="5" t="s">
        <v>21</v>
      </c>
      <c r="W1" s="5" t="s">
        <v>22</v>
      </c>
      <c r="X1" s="11" t="s">
        <v>23</v>
      </c>
      <c r="Y1" s="12" t="s">
        <v>24</v>
      </c>
    </row>
    <row r="2" spans="1:25" ht="16.5">
      <c r="A2" s="13" t="s">
        <v>25</v>
      </c>
      <c r="B2" s="14" t="s">
        <v>26</v>
      </c>
      <c r="C2" s="15"/>
      <c r="D2" s="14"/>
      <c r="E2" s="14" t="s">
        <v>27</v>
      </c>
      <c r="F2" s="16" t="s">
        <v>28</v>
      </c>
      <c r="G2" s="16" t="s">
        <v>29</v>
      </c>
      <c r="H2" s="16"/>
      <c r="I2" s="14"/>
      <c r="J2" s="17"/>
      <c r="K2" s="17"/>
      <c r="L2" s="14" t="s">
        <v>30</v>
      </c>
      <c r="M2" s="14"/>
      <c r="N2" s="14" t="s">
        <v>31</v>
      </c>
      <c r="O2" s="18" t="s">
        <v>32</v>
      </c>
      <c r="P2" s="19"/>
      <c r="Q2" s="16"/>
      <c r="R2" s="14"/>
      <c r="S2" s="14"/>
      <c r="T2" s="14"/>
      <c r="U2" s="14"/>
      <c r="V2" s="15"/>
      <c r="W2" s="15"/>
      <c r="X2" s="20"/>
      <c r="Y2" s="1"/>
    </row>
    <row r="3" spans="1:25" ht="16.5">
      <c r="A3" s="13" t="s">
        <v>33</v>
      </c>
      <c r="B3" s="16" t="s">
        <v>34</v>
      </c>
      <c r="C3" s="15" t="s">
        <v>35</v>
      </c>
      <c r="D3" s="16" t="s">
        <v>36</v>
      </c>
      <c r="E3" s="16" t="s">
        <v>37</v>
      </c>
      <c r="F3" s="16" t="s">
        <v>28</v>
      </c>
      <c r="G3" s="16" t="s">
        <v>38</v>
      </c>
      <c r="H3" s="16"/>
      <c r="I3" s="16"/>
      <c r="J3" s="17"/>
      <c r="K3" s="17"/>
      <c r="L3" s="16" t="s">
        <v>30</v>
      </c>
      <c r="M3" s="16" t="s">
        <v>39</v>
      </c>
      <c r="N3" s="18" t="s">
        <v>40</v>
      </c>
      <c r="O3" s="18" t="s">
        <v>32</v>
      </c>
      <c r="P3" s="19">
        <v>43467</v>
      </c>
      <c r="Q3" s="16" t="str">
        <f t="shared" ref="Q3:Q20" ca="1" si="0">DATEDIF(P3, TODAY(), "Y") &amp; " years " &amp; DATEDIF(P3, TODAY(), "YM") &amp; " months"</f>
        <v>6 years 4 months</v>
      </c>
      <c r="R3" s="16" t="s">
        <v>41</v>
      </c>
      <c r="S3" s="16" t="s">
        <v>42</v>
      </c>
      <c r="T3" s="16" t="s">
        <v>43</v>
      </c>
      <c r="U3" s="16"/>
      <c r="V3" s="15" t="s">
        <v>44</v>
      </c>
      <c r="W3" s="15" t="s">
        <v>44</v>
      </c>
      <c r="X3" s="20"/>
      <c r="Y3" s="1" t="s">
        <v>39</v>
      </c>
    </row>
    <row r="4" spans="1:25" ht="16.5">
      <c r="A4" s="16" t="s">
        <v>45</v>
      </c>
      <c r="B4" s="16" t="s">
        <v>46</v>
      </c>
      <c r="C4" s="15" t="s">
        <v>47</v>
      </c>
      <c r="D4" s="16" t="s">
        <v>48</v>
      </c>
      <c r="E4" s="16" t="s">
        <v>49</v>
      </c>
      <c r="F4" s="16" t="s">
        <v>28</v>
      </c>
      <c r="G4" s="16" t="s">
        <v>50</v>
      </c>
      <c r="H4" s="16"/>
      <c r="I4" s="16"/>
      <c r="J4" s="17">
        <v>45757</v>
      </c>
      <c r="K4" s="17"/>
      <c r="L4" s="16" t="s">
        <v>51</v>
      </c>
      <c r="M4" s="16"/>
      <c r="N4" s="18" t="s">
        <v>52</v>
      </c>
      <c r="O4" s="18" t="s">
        <v>53</v>
      </c>
      <c r="P4" s="19">
        <v>44044</v>
      </c>
      <c r="Q4" s="16" t="str">
        <f t="shared" ca="1" si="0"/>
        <v>4 years 9 months</v>
      </c>
      <c r="R4" s="16" t="s">
        <v>54</v>
      </c>
      <c r="S4" s="16" t="s">
        <v>55</v>
      </c>
      <c r="T4" s="16" t="s">
        <v>56</v>
      </c>
      <c r="U4" s="16" t="s">
        <v>57</v>
      </c>
      <c r="V4" s="15" t="s">
        <v>58</v>
      </c>
      <c r="W4" s="15" t="s">
        <v>59</v>
      </c>
      <c r="X4" s="1"/>
      <c r="Y4" s="1"/>
    </row>
    <row r="5" spans="1:25" ht="16.5">
      <c r="A5" s="16" t="s">
        <v>60</v>
      </c>
      <c r="B5" s="21" t="s">
        <v>61</v>
      </c>
      <c r="C5" s="15" t="s">
        <v>62</v>
      </c>
      <c r="D5" s="16" t="s">
        <v>63</v>
      </c>
      <c r="E5" s="16" t="s">
        <v>64</v>
      </c>
      <c r="F5" s="16" t="s">
        <v>28</v>
      </c>
      <c r="G5" s="16" t="s">
        <v>65</v>
      </c>
      <c r="H5" s="22" t="s">
        <v>66</v>
      </c>
      <c r="I5" s="16" t="s">
        <v>67</v>
      </c>
      <c r="J5" s="17"/>
      <c r="K5" s="17"/>
      <c r="L5" s="16" t="s">
        <v>51</v>
      </c>
      <c r="M5" s="16"/>
      <c r="N5" s="18" t="s">
        <v>65</v>
      </c>
      <c r="O5" s="18" t="s">
        <v>53</v>
      </c>
      <c r="P5" s="19">
        <v>42636</v>
      </c>
      <c r="Q5" s="16" t="str">
        <f t="shared" ca="1" si="0"/>
        <v>8 years 8 months</v>
      </c>
      <c r="R5" s="16" t="s">
        <v>68</v>
      </c>
      <c r="S5" s="16" t="s">
        <v>69</v>
      </c>
      <c r="T5" s="16" t="s">
        <v>70</v>
      </c>
      <c r="U5" s="16" t="s">
        <v>71</v>
      </c>
      <c r="V5" s="15" t="s">
        <v>72</v>
      </c>
      <c r="W5" s="15" t="s">
        <v>72</v>
      </c>
      <c r="X5" s="1"/>
      <c r="Y5" s="1"/>
    </row>
    <row r="6" spans="1:25" ht="16.5">
      <c r="A6" s="16" t="s">
        <v>73</v>
      </c>
      <c r="B6" s="16" t="s">
        <v>74</v>
      </c>
      <c r="C6" s="15" t="s">
        <v>75</v>
      </c>
      <c r="D6" s="16" t="s">
        <v>76</v>
      </c>
      <c r="E6" s="16" t="s">
        <v>77</v>
      </c>
      <c r="F6" s="16" t="s">
        <v>28</v>
      </c>
      <c r="G6" s="16" t="s">
        <v>38</v>
      </c>
      <c r="H6" s="16"/>
      <c r="I6" s="16"/>
      <c r="J6" s="17"/>
      <c r="K6" s="17"/>
      <c r="L6" s="16" t="s">
        <v>51</v>
      </c>
      <c r="M6" s="16" t="s">
        <v>78</v>
      </c>
      <c r="N6" s="18" t="s">
        <v>79</v>
      </c>
      <c r="O6" s="18" t="s">
        <v>80</v>
      </c>
      <c r="P6" s="19">
        <v>43143</v>
      </c>
      <c r="Q6" s="16" t="str">
        <f t="shared" ca="1" si="0"/>
        <v>7 years 3 months</v>
      </c>
      <c r="R6" s="16" t="s">
        <v>81</v>
      </c>
      <c r="S6" s="16" t="str">
        <f ca="1">Q6</f>
        <v>7 years 3 months</v>
      </c>
      <c r="T6" s="23" t="s">
        <v>82</v>
      </c>
      <c r="U6" s="16" t="s">
        <v>71</v>
      </c>
      <c r="V6" s="15" t="s">
        <v>83</v>
      </c>
      <c r="W6" s="15" t="s">
        <v>84</v>
      </c>
      <c r="X6" s="1"/>
      <c r="Y6" s="1" t="s">
        <v>78</v>
      </c>
    </row>
    <row r="7" spans="1:25" ht="16.5">
      <c r="A7" s="16" t="s">
        <v>85</v>
      </c>
      <c r="B7" s="16" t="s">
        <v>86</v>
      </c>
      <c r="C7" s="15" t="s">
        <v>87</v>
      </c>
      <c r="D7" s="16" t="s">
        <v>88</v>
      </c>
      <c r="E7" s="16" t="s">
        <v>89</v>
      </c>
      <c r="F7" s="16" t="s">
        <v>28</v>
      </c>
      <c r="G7" s="16" t="s">
        <v>38</v>
      </c>
      <c r="H7" s="16"/>
      <c r="I7" s="16"/>
      <c r="J7" s="17"/>
      <c r="K7" s="17"/>
      <c r="L7" s="16" t="s">
        <v>51</v>
      </c>
      <c r="M7" s="16" t="s">
        <v>90</v>
      </c>
      <c r="N7" s="18" t="s">
        <v>91</v>
      </c>
      <c r="O7" s="18" t="s">
        <v>53</v>
      </c>
      <c r="P7" s="19">
        <v>44186</v>
      </c>
      <c r="Q7" s="16" t="str">
        <f t="shared" ca="1" si="0"/>
        <v>4 years 5 months</v>
      </c>
      <c r="R7" s="16" t="s">
        <v>92</v>
      </c>
      <c r="S7" s="16" t="s">
        <v>93</v>
      </c>
      <c r="T7" s="16" t="s">
        <v>94</v>
      </c>
      <c r="U7" s="16" t="s">
        <v>93</v>
      </c>
      <c r="V7" s="15" t="s">
        <v>95</v>
      </c>
      <c r="W7" s="15" t="s">
        <v>96</v>
      </c>
      <c r="X7" s="1"/>
      <c r="Y7" s="1" t="s">
        <v>90</v>
      </c>
    </row>
    <row r="8" spans="1:25" ht="16.5">
      <c r="A8" s="16" t="s">
        <v>97</v>
      </c>
      <c r="B8" s="16" t="s">
        <v>98</v>
      </c>
      <c r="C8" s="15" t="s">
        <v>99</v>
      </c>
      <c r="D8" s="16" t="s">
        <v>100</v>
      </c>
      <c r="E8" s="16" t="s">
        <v>49</v>
      </c>
      <c r="F8" s="16" t="s">
        <v>28</v>
      </c>
      <c r="G8" s="16" t="s">
        <v>101</v>
      </c>
      <c r="H8" s="16" t="s">
        <v>102</v>
      </c>
      <c r="I8" s="16" t="s">
        <v>103</v>
      </c>
      <c r="J8" s="17">
        <v>45687</v>
      </c>
      <c r="K8" s="17">
        <v>45755</v>
      </c>
      <c r="L8" s="16" t="s">
        <v>51</v>
      </c>
      <c r="M8" s="16"/>
      <c r="N8" s="16"/>
      <c r="O8" s="18" t="s">
        <v>53</v>
      </c>
      <c r="P8" s="19">
        <v>42309</v>
      </c>
      <c r="Q8" s="16" t="str">
        <f t="shared" ca="1" si="0"/>
        <v>9 years 6 months</v>
      </c>
      <c r="R8" s="16" t="s">
        <v>104</v>
      </c>
      <c r="S8" s="16" t="s">
        <v>105</v>
      </c>
      <c r="T8" s="16" t="s">
        <v>106</v>
      </c>
      <c r="U8" s="16" t="s">
        <v>107</v>
      </c>
      <c r="V8" s="15" t="s">
        <v>108</v>
      </c>
      <c r="W8" s="15" t="s">
        <v>109</v>
      </c>
      <c r="X8" s="1"/>
      <c r="Y8" s="1"/>
    </row>
    <row r="9" spans="1:25" ht="16.5">
      <c r="A9" s="16" t="s">
        <v>110</v>
      </c>
      <c r="B9" s="16" t="s">
        <v>88</v>
      </c>
      <c r="C9" s="15" t="s">
        <v>111</v>
      </c>
      <c r="D9" s="16" t="s">
        <v>48</v>
      </c>
      <c r="E9" s="16" t="s">
        <v>112</v>
      </c>
      <c r="F9" s="16" t="s">
        <v>28</v>
      </c>
      <c r="G9" s="16" t="s">
        <v>101</v>
      </c>
      <c r="H9" s="22" t="s">
        <v>113</v>
      </c>
      <c r="I9" s="16" t="s">
        <v>114</v>
      </c>
      <c r="J9" s="17"/>
      <c r="K9" s="17"/>
      <c r="L9" s="16" t="s">
        <v>51</v>
      </c>
      <c r="M9" s="16"/>
      <c r="N9" s="18" t="s">
        <v>115</v>
      </c>
      <c r="O9" s="18" t="s">
        <v>53</v>
      </c>
      <c r="P9" s="19">
        <v>42583</v>
      </c>
      <c r="Q9" s="16" t="str">
        <f t="shared" ca="1" si="0"/>
        <v>8 years 9 months</v>
      </c>
      <c r="R9" s="16" t="s">
        <v>116</v>
      </c>
      <c r="S9" s="16" t="s">
        <v>117</v>
      </c>
      <c r="T9" s="16" t="s">
        <v>118</v>
      </c>
      <c r="U9" s="16" t="s">
        <v>119</v>
      </c>
      <c r="V9" s="15" t="s">
        <v>120</v>
      </c>
      <c r="W9" s="15" t="s">
        <v>121</v>
      </c>
      <c r="X9" s="1"/>
      <c r="Y9" s="1"/>
    </row>
    <row r="10" spans="1:25" ht="16.5">
      <c r="A10" s="16" t="s">
        <v>122</v>
      </c>
      <c r="B10" s="16" t="s">
        <v>123</v>
      </c>
      <c r="C10" s="15" t="s">
        <v>124</v>
      </c>
      <c r="D10" s="16" t="s">
        <v>125</v>
      </c>
      <c r="E10" s="16" t="s">
        <v>126</v>
      </c>
      <c r="F10" s="16" t="s">
        <v>28</v>
      </c>
      <c r="G10" s="16" t="s">
        <v>38</v>
      </c>
      <c r="H10" s="16"/>
      <c r="I10" s="16" t="s">
        <v>127</v>
      </c>
      <c r="J10" s="17"/>
      <c r="K10" s="17"/>
      <c r="L10" s="16" t="s">
        <v>51</v>
      </c>
      <c r="M10" s="16"/>
      <c r="N10" s="18" t="s">
        <v>128</v>
      </c>
      <c r="O10" s="18" t="s">
        <v>53</v>
      </c>
      <c r="P10" s="19">
        <v>43269</v>
      </c>
      <c r="Q10" s="16" t="str">
        <f t="shared" ca="1" si="0"/>
        <v>6 years 11 months</v>
      </c>
      <c r="R10" s="16" t="s">
        <v>129</v>
      </c>
      <c r="S10" s="16" t="s">
        <v>130</v>
      </c>
      <c r="T10" s="16" t="s">
        <v>131</v>
      </c>
      <c r="U10" s="16" t="s">
        <v>107</v>
      </c>
      <c r="V10" s="15" t="s">
        <v>72</v>
      </c>
      <c r="W10" s="15" t="s">
        <v>132</v>
      </c>
      <c r="X10" s="1"/>
      <c r="Y10" s="1" t="s">
        <v>133</v>
      </c>
    </row>
    <row r="11" spans="1:25" ht="16.5">
      <c r="A11" s="16" t="s">
        <v>134</v>
      </c>
      <c r="B11" s="16" t="s">
        <v>135</v>
      </c>
      <c r="C11" s="15" t="s">
        <v>136</v>
      </c>
      <c r="D11" s="16" t="s">
        <v>137</v>
      </c>
      <c r="E11" s="16" t="s">
        <v>126</v>
      </c>
      <c r="F11" s="16" t="s">
        <v>28</v>
      </c>
      <c r="G11" s="16" t="s">
        <v>138</v>
      </c>
      <c r="H11" s="22" t="s">
        <v>139</v>
      </c>
      <c r="I11" s="16" t="s">
        <v>140</v>
      </c>
      <c r="J11" s="17"/>
      <c r="K11" s="17"/>
      <c r="L11" s="16" t="s">
        <v>51</v>
      </c>
      <c r="M11" s="16"/>
      <c r="N11" s="18" t="s">
        <v>141</v>
      </c>
      <c r="O11" s="18" t="s">
        <v>80</v>
      </c>
      <c r="P11" s="19">
        <v>43160</v>
      </c>
      <c r="Q11" s="16" t="str">
        <f t="shared" ca="1" si="0"/>
        <v>7 years 2 months</v>
      </c>
      <c r="R11" s="16" t="s">
        <v>142</v>
      </c>
      <c r="S11" s="16" t="s">
        <v>143</v>
      </c>
      <c r="T11" s="16" t="s">
        <v>144</v>
      </c>
      <c r="U11" s="16" t="s">
        <v>143</v>
      </c>
      <c r="V11" s="15" t="s">
        <v>72</v>
      </c>
      <c r="W11" s="15" t="s">
        <v>132</v>
      </c>
      <c r="X11" s="1"/>
      <c r="Y11" s="1"/>
    </row>
    <row r="12" spans="1:25" ht="16.5">
      <c r="A12" s="16" t="s">
        <v>145</v>
      </c>
      <c r="B12" s="16" t="s">
        <v>146</v>
      </c>
      <c r="C12" s="15" t="s">
        <v>147</v>
      </c>
      <c r="D12" s="16" t="s">
        <v>76</v>
      </c>
      <c r="E12" s="16" t="s">
        <v>148</v>
      </c>
      <c r="F12" s="16" t="s">
        <v>28</v>
      </c>
      <c r="G12" s="16" t="s">
        <v>149</v>
      </c>
      <c r="H12" s="16"/>
      <c r="I12" s="16"/>
      <c r="J12" s="17"/>
      <c r="K12" s="17"/>
      <c r="L12" s="16" t="s">
        <v>51</v>
      </c>
      <c r="M12" s="16"/>
      <c r="N12" s="18" t="s">
        <v>149</v>
      </c>
      <c r="O12" s="18" t="s">
        <v>53</v>
      </c>
      <c r="P12" s="19">
        <v>39295</v>
      </c>
      <c r="Q12" s="16" t="str">
        <f t="shared" ca="1" si="0"/>
        <v>17 years 9 months</v>
      </c>
      <c r="R12" s="16" t="s">
        <v>150</v>
      </c>
      <c r="S12" s="16" t="s">
        <v>151</v>
      </c>
      <c r="T12" s="16" t="s">
        <v>152</v>
      </c>
      <c r="U12" s="16" t="s">
        <v>153</v>
      </c>
      <c r="V12" s="15" t="s">
        <v>108</v>
      </c>
      <c r="W12" s="15" t="s">
        <v>109</v>
      </c>
      <c r="X12" s="1"/>
      <c r="Y12" s="1" t="s">
        <v>78</v>
      </c>
    </row>
    <row r="13" spans="1:25" ht="16.5">
      <c r="A13" s="16" t="s">
        <v>154</v>
      </c>
      <c r="B13" s="16" t="s">
        <v>155</v>
      </c>
      <c r="C13" s="15" t="s">
        <v>156</v>
      </c>
      <c r="D13" s="16" t="s">
        <v>125</v>
      </c>
      <c r="E13" s="16" t="s">
        <v>64</v>
      </c>
      <c r="F13" s="16" t="s">
        <v>28</v>
      </c>
      <c r="G13" s="16" t="s">
        <v>38</v>
      </c>
      <c r="H13" s="16"/>
      <c r="I13" s="16"/>
      <c r="J13" s="17"/>
      <c r="K13" s="17"/>
      <c r="L13" s="16" t="s">
        <v>51</v>
      </c>
      <c r="M13" s="16"/>
      <c r="N13" s="18" t="s">
        <v>157</v>
      </c>
      <c r="O13" s="18" t="s">
        <v>53</v>
      </c>
      <c r="P13" s="19">
        <v>42885</v>
      </c>
      <c r="Q13" s="16" t="str">
        <f t="shared" ca="1" si="0"/>
        <v>7 years 11 months</v>
      </c>
      <c r="R13" s="16" t="s">
        <v>158</v>
      </c>
      <c r="S13" s="16" t="s">
        <v>159</v>
      </c>
      <c r="T13" s="16" t="s">
        <v>160</v>
      </c>
      <c r="U13" s="16" t="s">
        <v>161</v>
      </c>
      <c r="V13" s="15" t="s">
        <v>72</v>
      </c>
      <c r="W13" s="15" t="s">
        <v>132</v>
      </c>
      <c r="X13" s="1"/>
      <c r="Y13" s="1" t="s">
        <v>133</v>
      </c>
    </row>
    <row r="14" spans="1:25" ht="16.5">
      <c r="A14" s="16" t="s">
        <v>162</v>
      </c>
      <c r="B14" s="16" t="s">
        <v>163</v>
      </c>
      <c r="C14" s="15" t="s">
        <v>164</v>
      </c>
      <c r="D14" s="16" t="s">
        <v>63</v>
      </c>
      <c r="E14" s="16" t="s">
        <v>165</v>
      </c>
      <c r="F14" s="16" t="s">
        <v>28</v>
      </c>
      <c r="G14" s="16" t="s">
        <v>138</v>
      </c>
      <c r="H14" s="16" t="s">
        <v>166</v>
      </c>
      <c r="I14" s="16"/>
      <c r="J14" s="17">
        <v>45658</v>
      </c>
      <c r="K14" s="17"/>
      <c r="L14" s="16" t="s">
        <v>51</v>
      </c>
      <c r="M14" s="16"/>
      <c r="N14" s="16" t="s">
        <v>141</v>
      </c>
      <c r="O14" s="18" t="s">
        <v>80</v>
      </c>
      <c r="P14" s="19">
        <v>42529</v>
      </c>
      <c r="Q14" s="16" t="str">
        <f t="shared" ca="1" si="0"/>
        <v>8 years 11 months</v>
      </c>
      <c r="R14" s="16" t="s">
        <v>167</v>
      </c>
      <c r="S14" s="16" t="s">
        <v>168</v>
      </c>
      <c r="T14" s="16" t="s">
        <v>169</v>
      </c>
      <c r="U14" s="16" t="s">
        <v>71</v>
      </c>
      <c r="V14" s="15" t="s">
        <v>72</v>
      </c>
      <c r="W14" s="15" t="s">
        <v>132</v>
      </c>
      <c r="X14" s="24">
        <v>0.5</v>
      </c>
      <c r="Y14" s="1"/>
    </row>
    <row r="15" spans="1:25" ht="16.5">
      <c r="A15" s="16" t="s">
        <v>170</v>
      </c>
      <c r="B15" s="16" t="s">
        <v>171</v>
      </c>
      <c r="C15" s="15" t="s">
        <v>172</v>
      </c>
      <c r="D15" s="16" t="s">
        <v>63</v>
      </c>
      <c r="E15" s="16" t="s">
        <v>64</v>
      </c>
      <c r="F15" s="16" t="s">
        <v>28</v>
      </c>
      <c r="G15" s="16" t="s">
        <v>149</v>
      </c>
      <c r="H15" s="16"/>
      <c r="I15" s="16" t="s">
        <v>173</v>
      </c>
      <c r="J15" s="17"/>
      <c r="K15" s="17"/>
      <c r="L15" s="16" t="s">
        <v>51</v>
      </c>
      <c r="M15" s="16"/>
      <c r="N15" s="18" t="s">
        <v>149</v>
      </c>
      <c r="O15" s="18" t="s">
        <v>53</v>
      </c>
      <c r="P15" s="19">
        <v>42549</v>
      </c>
      <c r="Q15" s="16" t="str">
        <f t="shared" ca="1" si="0"/>
        <v>8 years 11 months</v>
      </c>
      <c r="R15" s="16" t="s">
        <v>174</v>
      </c>
      <c r="S15" s="16" t="s">
        <v>175</v>
      </c>
      <c r="T15" s="16" t="s">
        <v>176</v>
      </c>
      <c r="U15" s="16"/>
      <c r="V15" s="15" t="s">
        <v>72</v>
      </c>
      <c r="W15" s="15" t="s">
        <v>132</v>
      </c>
      <c r="X15" s="1"/>
      <c r="Y15" s="1" t="s">
        <v>133</v>
      </c>
    </row>
    <row r="16" spans="1:25" ht="16.5">
      <c r="A16" s="16" t="s">
        <v>177</v>
      </c>
      <c r="B16" s="16" t="s">
        <v>178</v>
      </c>
      <c r="C16" s="15" t="s">
        <v>179</v>
      </c>
      <c r="D16" s="16" t="s">
        <v>36</v>
      </c>
      <c r="E16" s="16" t="s">
        <v>77</v>
      </c>
      <c r="F16" s="16" t="s">
        <v>28</v>
      </c>
      <c r="G16" s="16" t="s">
        <v>38</v>
      </c>
      <c r="H16" s="16"/>
      <c r="I16" s="16" t="s">
        <v>180</v>
      </c>
      <c r="J16" s="17"/>
      <c r="K16" s="17"/>
      <c r="L16" s="16" t="s">
        <v>51</v>
      </c>
      <c r="M16" s="16"/>
      <c r="N16" s="18" t="s">
        <v>181</v>
      </c>
      <c r="O16" s="18" t="s">
        <v>80</v>
      </c>
      <c r="P16" s="19">
        <v>42601</v>
      </c>
      <c r="Q16" s="16" t="str">
        <f t="shared" ca="1" si="0"/>
        <v>8 years 9 months</v>
      </c>
      <c r="R16" s="16" t="s">
        <v>182</v>
      </c>
      <c r="S16" s="16" t="s">
        <v>117</v>
      </c>
      <c r="T16" s="16" t="s">
        <v>183</v>
      </c>
      <c r="U16" s="16"/>
      <c r="V16" s="15" t="s">
        <v>184</v>
      </c>
      <c r="W16" s="15" t="s">
        <v>185</v>
      </c>
      <c r="X16" s="1"/>
      <c r="Y16" s="1" t="s">
        <v>39</v>
      </c>
    </row>
    <row r="17" spans="1:25" ht="392.25">
      <c r="A17" s="16" t="s">
        <v>186</v>
      </c>
      <c r="B17" s="16" t="s">
        <v>187</v>
      </c>
      <c r="C17" s="15" t="s">
        <v>188</v>
      </c>
      <c r="D17" s="16" t="s">
        <v>100</v>
      </c>
      <c r="E17" s="16" t="s">
        <v>189</v>
      </c>
      <c r="F17" s="16" t="s">
        <v>28</v>
      </c>
      <c r="G17" s="16" t="s">
        <v>138</v>
      </c>
      <c r="H17" s="16"/>
      <c r="I17" s="25" t="s">
        <v>190</v>
      </c>
      <c r="J17" s="17">
        <v>45583</v>
      </c>
      <c r="K17" s="17">
        <v>45636</v>
      </c>
      <c r="L17" s="16" t="s">
        <v>51</v>
      </c>
      <c r="M17" s="16"/>
      <c r="N17" s="18" t="s">
        <v>191</v>
      </c>
      <c r="O17" s="18" t="s">
        <v>53</v>
      </c>
      <c r="P17" s="19">
        <v>44713</v>
      </c>
      <c r="Q17" s="16" t="str">
        <f t="shared" ca="1" si="0"/>
        <v>2 years 11 months</v>
      </c>
      <c r="R17" s="26" t="s">
        <v>192</v>
      </c>
      <c r="S17" s="16" t="s">
        <v>57</v>
      </c>
      <c r="T17" s="27" t="s">
        <v>193</v>
      </c>
      <c r="U17" s="28" t="s">
        <v>194</v>
      </c>
      <c r="V17" s="15" t="s">
        <v>195</v>
      </c>
      <c r="W17" s="15" t="s">
        <v>59</v>
      </c>
      <c r="X17" s="1"/>
      <c r="Y17" s="1"/>
    </row>
    <row r="18" spans="1:25" ht="16.5">
      <c r="A18" s="16" t="s">
        <v>196</v>
      </c>
      <c r="B18" s="16" t="s">
        <v>197</v>
      </c>
      <c r="C18" s="15" t="s">
        <v>188</v>
      </c>
      <c r="D18" s="14" t="s">
        <v>198</v>
      </c>
      <c r="E18" s="16" t="s">
        <v>199</v>
      </c>
      <c r="F18" s="16" t="s">
        <v>28</v>
      </c>
      <c r="G18" s="16" t="s">
        <v>50</v>
      </c>
      <c r="H18" s="16"/>
      <c r="I18" s="16"/>
      <c r="J18" s="17">
        <v>45757</v>
      </c>
      <c r="K18" s="17"/>
      <c r="L18" s="16" t="s">
        <v>51</v>
      </c>
      <c r="M18" s="16"/>
      <c r="N18" s="18" t="s">
        <v>200</v>
      </c>
      <c r="O18" s="18" t="s">
        <v>53</v>
      </c>
      <c r="P18" s="19">
        <v>44571</v>
      </c>
      <c r="Q18" s="16" t="str">
        <f t="shared" ca="1" si="0"/>
        <v>3 years 4 months</v>
      </c>
      <c r="R18" s="16" t="s">
        <v>201</v>
      </c>
      <c r="S18" s="16" t="s">
        <v>57</v>
      </c>
      <c r="T18" s="16" t="s">
        <v>202</v>
      </c>
      <c r="U18" s="15" t="s">
        <v>57</v>
      </c>
      <c r="V18" s="15" t="s">
        <v>203</v>
      </c>
      <c r="W18" s="15" t="s">
        <v>109</v>
      </c>
      <c r="X18" s="1"/>
      <c r="Y18" s="1"/>
    </row>
    <row r="19" spans="1:25" ht="16.5">
      <c r="A19" s="16" t="s">
        <v>204</v>
      </c>
      <c r="B19" s="16" t="s">
        <v>205</v>
      </c>
      <c r="C19" s="15" t="s">
        <v>188</v>
      </c>
      <c r="D19" s="16" t="s">
        <v>206</v>
      </c>
      <c r="E19" s="16" t="s">
        <v>207</v>
      </c>
      <c r="F19" s="16" t="s">
        <v>28</v>
      </c>
      <c r="G19" s="16" t="s">
        <v>138</v>
      </c>
      <c r="H19" s="16" t="s">
        <v>208</v>
      </c>
      <c r="I19" s="16" t="s">
        <v>209</v>
      </c>
      <c r="J19" s="17">
        <v>45441</v>
      </c>
      <c r="K19" s="17">
        <v>45747</v>
      </c>
      <c r="L19" s="16" t="s">
        <v>51</v>
      </c>
      <c r="M19" s="16"/>
      <c r="N19" s="18" t="s">
        <v>141</v>
      </c>
      <c r="O19" s="18" t="s">
        <v>53</v>
      </c>
      <c r="P19" s="19">
        <v>44743</v>
      </c>
      <c r="Q19" s="16" t="str">
        <f t="shared" ca="1" si="0"/>
        <v>2 years 10 months</v>
      </c>
      <c r="R19" s="16" t="s">
        <v>210</v>
      </c>
      <c r="S19" s="16" t="s">
        <v>57</v>
      </c>
      <c r="T19" s="16" t="s">
        <v>211</v>
      </c>
      <c r="U19" s="16"/>
      <c r="V19" s="15" t="s">
        <v>72</v>
      </c>
      <c r="W19" s="15" t="s">
        <v>72</v>
      </c>
      <c r="X19" s="1"/>
      <c r="Y19" s="1"/>
    </row>
    <row r="20" spans="1:25" ht="16.5">
      <c r="A20" s="16" t="s">
        <v>212</v>
      </c>
      <c r="B20" s="16" t="s">
        <v>213</v>
      </c>
      <c r="C20" s="15" t="s">
        <v>188</v>
      </c>
      <c r="D20" s="16" t="s">
        <v>198</v>
      </c>
      <c r="E20" s="16" t="s">
        <v>199</v>
      </c>
      <c r="F20" s="16" t="s">
        <v>214</v>
      </c>
      <c r="G20" s="16" t="s">
        <v>215</v>
      </c>
      <c r="H20" s="16"/>
      <c r="I20" s="16"/>
      <c r="J20" s="17">
        <v>45757</v>
      </c>
      <c r="K20" s="17"/>
      <c r="L20" s="16" t="s">
        <v>51</v>
      </c>
      <c r="M20" s="16"/>
      <c r="N20" s="18" t="s">
        <v>115</v>
      </c>
      <c r="O20" s="18" t="s">
        <v>53</v>
      </c>
      <c r="P20" s="19">
        <v>44571</v>
      </c>
      <c r="Q20" s="16" t="str">
        <f t="shared" ca="1" si="0"/>
        <v>3 years 4 months</v>
      </c>
      <c r="R20" s="16" t="s">
        <v>216</v>
      </c>
      <c r="S20" s="16" t="s">
        <v>57</v>
      </c>
      <c r="T20" s="16" t="s">
        <v>217</v>
      </c>
      <c r="U20" s="16" t="s">
        <v>57</v>
      </c>
      <c r="V20" s="15" t="s">
        <v>203</v>
      </c>
      <c r="W20" s="15" t="s">
        <v>109</v>
      </c>
      <c r="X20" s="1"/>
      <c r="Y20" s="1"/>
    </row>
    <row r="21" spans="1:25" ht="16.5">
      <c r="A21" s="29" t="s">
        <v>218</v>
      </c>
      <c r="B21" s="29" t="s">
        <v>219</v>
      </c>
      <c r="C21" s="30" t="s">
        <v>220</v>
      </c>
      <c r="D21" s="29" t="s">
        <v>76</v>
      </c>
      <c r="E21" s="29" t="s">
        <v>221</v>
      </c>
      <c r="F21" s="29" t="s">
        <v>214</v>
      </c>
      <c r="G21" s="29" t="s">
        <v>215</v>
      </c>
      <c r="H21" s="29" t="s">
        <v>222</v>
      </c>
      <c r="I21" s="29" t="s">
        <v>223</v>
      </c>
      <c r="J21" s="31">
        <v>45334</v>
      </c>
      <c r="K21" s="31"/>
      <c r="L21" s="29" t="s">
        <v>51</v>
      </c>
      <c r="M21" s="29"/>
      <c r="N21" s="32" t="s">
        <v>215</v>
      </c>
      <c r="O21" s="32" t="s">
        <v>53</v>
      </c>
      <c r="P21" s="33">
        <v>43759</v>
      </c>
      <c r="Q21" s="29" t="s">
        <v>224</v>
      </c>
      <c r="R21" s="29" t="s">
        <v>225</v>
      </c>
      <c r="S21" s="29"/>
      <c r="T21" s="29"/>
      <c r="U21" s="29"/>
      <c r="V21" s="30" t="s">
        <v>226</v>
      </c>
      <c r="W21" s="30" t="s">
        <v>226</v>
      </c>
      <c r="X21" s="1"/>
      <c r="Y21" s="1"/>
    </row>
    <row r="22" spans="1:25" ht="16.5">
      <c r="A22" s="16" t="s">
        <v>227</v>
      </c>
      <c r="B22" s="16" t="s">
        <v>228</v>
      </c>
      <c r="C22" s="15" t="s">
        <v>220</v>
      </c>
      <c r="D22" s="16" t="s">
        <v>36</v>
      </c>
      <c r="E22" s="16" t="s">
        <v>229</v>
      </c>
      <c r="F22" s="16" t="s">
        <v>214</v>
      </c>
      <c r="G22" s="16" t="s">
        <v>215</v>
      </c>
      <c r="H22" s="16"/>
      <c r="I22" s="16" t="s">
        <v>44</v>
      </c>
      <c r="J22" s="17">
        <v>45694</v>
      </c>
      <c r="K22" s="17"/>
      <c r="L22" s="16" t="s">
        <v>51</v>
      </c>
      <c r="M22" s="16"/>
      <c r="N22" s="18" t="s">
        <v>141</v>
      </c>
      <c r="O22" s="18" t="s">
        <v>53</v>
      </c>
      <c r="P22" s="19">
        <v>44621</v>
      </c>
      <c r="Q22" s="16" t="str">
        <f ca="1">DATEDIF(P22, TODAY(), "Y") &amp; " years " &amp; DATEDIF(P22, TODAY(), "YM") &amp; " months"</f>
        <v>3 years 2 months</v>
      </c>
      <c r="R22" s="16" t="s">
        <v>230</v>
      </c>
      <c r="S22" s="16" t="s">
        <v>57</v>
      </c>
      <c r="T22" s="16" t="s">
        <v>231</v>
      </c>
      <c r="U22" s="16" t="s">
        <v>57</v>
      </c>
      <c r="V22" s="15" t="s">
        <v>44</v>
      </c>
      <c r="W22" s="15" t="s">
        <v>44</v>
      </c>
      <c r="X22" s="1"/>
      <c r="Y22" s="1"/>
    </row>
    <row r="23" spans="1:25" ht="16.5">
      <c r="A23" s="16" t="s">
        <v>232</v>
      </c>
      <c r="B23" s="16" t="s">
        <v>233</v>
      </c>
      <c r="C23" s="15" t="s">
        <v>234</v>
      </c>
      <c r="D23" s="16" t="s">
        <v>76</v>
      </c>
      <c r="E23" s="16" t="s">
        <v>235</v>
      </c>
      <c r="F23" s="16" t="s">
        <v>236</v>
      </c>
      <c r="G23" s="16" t="s">
        <v>237</v>
      </c>
      <c r="H23" s="34" t="s">
        <v>238</v>
      </c>
      <c r="I23" s="16"/>
      <c r="J23" s="17">
        <v>45717</v>
      </c>
      <c r="K23" s="17"/>
      <c r="L23" s="16" t="s">
        <v>51</v>
      </c>
      <c r="M23" s="16"/>
      <c r="N23" s="18" t="s">
        <v>239</v>
      </c>
      <c r="O23" s="18" t="s">
        <v>80</v>
      </c>
      <c r="P23" s="19">
        <v>41730</v>
      </c>
      <c r="Q23" s="16" t="str">
        <f ca="1">DATEDIF(P23, TODAY(), "Y") &amp; " years " &amp; DATEDIF(P23, TODAY(), "YM") &amp; " months"</f>
        <v>11 years 1 months</v>
      </c>
      <c r="R23" s="16" t="s">
        <v>240</v>
      </c>
      <c r="S23" s="16" t="s">
        <v>241</v>
      </c>
      <c r="T23" s="16" t="s">
        <v>242</v>
      </c>
      <c r="U23" s="16" t="s">
        <v>243</v>
      </c>
      <c r="V23" s="15" t="s">
        <v>83</v>
      </c>
      <c r="W23" s="15" t="s">
        <v>84</v>
      </c>
      <c r="X23" s="1"/>
      <c r="Y23" s="1" t="s">
        <v>78</v>
      </c>
    </row>
    <row r="24" spans="1:25" ht="16.5">
      <c r="A24" s="16" t="s">
        <v>244</v>
      </c>
      <c r="B24" s="21" t="s">
        <v>245</v>
      </c>
      <c r="C24" s="15" t="s">
        <v>246</v>
      </c>
      <c r="D24" s="16" t="s">
        <v>76</v>
      </c>
      <c r="E24" s="16" t="s">
        <v>77</v>
      </c>
      <c r="F24" s="16" t="s">
        <v>28</v>
      </c>
      <c r="G24" s="16" t="s">
        <v>65</v>
      </c>
      <c r="H24" s="16"/>
      <c r="I24" s="16" t="s">
        <v>247</v>
      </c>
      <c r="J24" s="17"/>
      <c r="K24" s="17"/>
      <c r="L24" s="16" t="s">
        <v>51</v>
      </c>
      <c r="M24" s="16"/>
      <c r="N24" s="18" t="s">
        <v>65</v>
      </c>
      <c r="O24" s="18" t="s">
        <v>80</v>
      </c>
      <c r="P24" s="19">
        <v>42940</v>
      </c>
      <c r="Q24" s="16" t="s">
        <v>248</v>
      </c>
      <c r="R24" s="16" t="s">
        <v>249</v>
      </c>
      <c r="S24" s="16" t="s">
        <v>250</v>
      </c>
      <c r="T24" s="16" t="s">
        <v>251</v>
      </c>
      <c r="U24" s="16" t="s">
        <v>153</v>
      </c>
      <c r="V24" s="15" t="s">
        <v>108</v>
      </c>
      <c r="W24" s="15" t="s">
        <v>109</v>
      </c>
      <c r="X24" s="1"/>
      <c r="Y24" s="1" t="s">
        <v>78</v>
      </c>
    </row>
    <row r="25" spans="1:25" ht="16.5">
      <c r="A25" s="16" t="s">
        <v>252</v>
      </c>
      <c r="B25" s="16" t="s">
        <v>253</v>
      </c>
      <c r="C25" s="15" t="s">
        <v>254</v>
      </c>
      <c r="D25" s="16" t="s">
        <v>125</v>
      </c>
      <c r="E25" s="16" t="s">
        <v>126</v>
      </c>
      <c r="F25" s="16" t="s">
        <v>28</v>
      </c>
      <c r="G25" s="16" t="s">
        <v>38</v>
      </c>
      <c r="H25" s="16"/>
      <c r="I25" s="16" t="s">
        <v>255</v>
      </c>
      <c r="J25" s="17"/>
      <c r="K25" s="17"/>
      <c r="L25" s="16" t="s">
        <v>51</v>
      </c>
      <c r="M25" s="16"/>
      <c r="N25" s="35" t="s">
        <v>256</v>
      </c>
      <c r="O25" s="18" t="s">
        <v>53</v>
      </c>
      <c r="P25" s="19">
        <v>43479</v>
      </c>
      <c r="Q25" s="16" t="str">
        <f t="shared" ref="Q25:Q64" ca="1" si="1">DATEDIF(P25, TODAY(), "Y") &amp; " years " &amp; DATEDIF(P25, TODAY(), "YM") &amp; " months"</f>
        <v>6 years 4 months</v>
      </c>
      <c r="R25" s="16" t="s">
        <v>257</v>
      </c>
      <c r="S25" s="16" t="s">
        <v>258</v>
      </c>
      <c r="T25" s="16" t="s">
        <v>259</v>
      </c>
      <c r="U25" s="16" t="s">
        <v>260</v>
      </c>
      <c r="V25" s="15" t="s">
        <v>72</v>
      </c>
      <c r="W25" s="15" t="s">
        <v>72</v>
      </c>
      <c r="X25" s="1"/>
      <c r="Y25" s="1" t="s">
        <v>261</v>
      </c>
    </row>
    <row r="26" spans="1:25" ht="16.5">
      <c r="A26" s="16" t="s">
        <v>262</v>
      </c>
      <c r="B26" s="16" t="s">
        <v>263</v>
      </c>
      <c r="C26" s="15" t="s">
        <v>264</v>
      </c>
      <c r="D26" s="14" t="s">
        <v>265</v>
      </c>
      <c r="E26" s="16" t="s">
        <v>266</v>
      </c>
      <c r="F26" s="16" t="s">
        <v>214</v>
      </c>
      <c r="G26" s="16" t="s">
        <v>215</v>
      </c>
      <c r="H26" s="16" t="s">
        <v>267</v>
      </c>
      <c r="I26" s="16" t="s">
        <v>268</v>
      </c>
      <c r="J26" s="17">
        <v>45705</v>
      </c>
      <c r="K26" s="17"/>
      <c r="L26" s="16" t="s">
        <v>51</v>
      </c>
      <c r="M26" s="16"/>
      <c r="N26" s="16" t="s">
        <v>269</v>
      </c>
      <c r="O26" s="18" t="s">
        <v>80</v>
      </c>
      <c r="P26" s="19">
        <v>44088</v>
      </c>
      <c r="Q26" s="16" t="str">
        <f t="shared" ca="1" si="1"/>
        <v>4 years 8 months</v>
      </c>
      <c r="R26" s="16" t="s">
        <v>270</v>
      </c>
      <c r="S26" s="16" t="s">
        <v>271</v>
      </c>
      <c r="T26" s="16" t="s">
        <v>272</v>
      </c>
      <c r="U26" s="16" t="s">
        <v>273</v>
      </c>
      <c r="V26" s="15" t="s">
        <v>108</v>
      </c>
      <c r="W26" s="15" t="s">
        <v>109</v>
      </c>
      <c r="X26" s="36">
        <v>1</v>
      </c>
      <c r="Y26" s="1"/>
    </row>
    <row r="27" spans="1:25" ht="16.5">
      <c r="A27" s="16" t="s">
        <v>274</v>
      </c>
      <c r="B27" s="16" t="s">
        <v>275</v>
      </c>
      <c r="C27" s="15" t="s">
        <v>264</v>
      </c>
      <c r="D27" s="16" t="s">
        <v>36</v>
      </c>
      <c r="E27" s="16" t="s">
        <v>276</v>
      </c>
      <c r="F27" s="16" t="s">
        <v>28</v>
      </c>
      <c r="G27" s="16" t="s">
        <v>101</v>
      </c>
      <c r="H27" s="16" t="s">
        <v>102</v>
      </c>
      <c r="I27" s="16"/>
      <c r="J27" s="17">
        <v>45705</v>
      </c>
      <c r="K27" s="17">
        <v>45755</v>
      </c>
      <c r="L27" s="16" t="s">
        <v>51</v>
      </c>
      <c r="M27" s="16"/>
      <c r="N27" s="16" t="s">
        <v>277</v>
      </c>
      <c r="O27" s="18" t="s">
        <v>53</v>
      </c>
      <c r="P27" s="19">
        <v>44760</v>
      </c>
      <c r="Q27" s="16" t="str">
        <f t="shared" ca="1" si="1"/>
        <v>2 years 10 months</v>
      </c>
      <c r="R27" s="16" t="s">
        <v>278</v>
      </c>
      <c r="S27" s="16" t="s">
        <v>279</v>
      </c>
      <c r="T27" s="16" t="s">
        <v>280</v>
      </c>
      <c r="U27" s="16" t="s">
        <v>281</v>
      </c>
      <c r="V27" s="15" t="s">
        <v>44</v>
      </c>
      <c r="W27" s="15" t="s">
        <v>44</v>
      </c>
      <c r="X27" s="24">
        <v>0.5</v>
      </c>
      <c r="Y27" s="1"/>
    </row>
    <row r="28" spans="1:25" ht="16.5">
      <c r="A28" s="16" t="s">
        <v>282</v>
      </c>
      <c r="B28" s="16" t="s">
        <v>283</v>
      </c>
      <c r="C28" s="15" t="s">
        <v>264</v>
      </c>
      <c r="D28" s="16" t="s">
        <v>98</v>
      </c>
      <c r="E28" s="37" t="s">
        <v>284</v>
      </c>
      <c r="F28" s="16" t="s">
        <v>214</v>
      </c>
      <c r="G28" s="16" t="s">
        <v>215</v>
      </c>
      <c r="H28" s="16" t="s">
        <v>285</v>
      </c>
      <c r="I28" s="16" t="s">
        <v>286</v>
      </c>
      <c r="J28" s="17">
        <v>45687</v>
      </c>
      <c r="K28" s="17"/>
      <c r="L28" s="16" t="s">
        <v>51</v>
      </c>
      <c r="M28" s="16"/>
      <c r="N28" s="16"/>
      <c r="O28" s="18" t="s">
        <v>53</v>
      </c>
      <c r="P28" s="19">
        <v>44760</v>
      </c>
      <c r="Q28" s="16" t="str">
        <f t="shared" ca="1" si="1"/>
        <v>2 years 10 months</v>
      </c>
      <c r="R28" s="16" t="s">
        <v>287</v>
      </c>
      <c r="S28" s="16" t="s">
        <v>288</v>
      </c>
      <c r="T28" s="16" t="s">
        <v>289</v>
      </c>
      <c r="U28" s="16" t="s">
        <v>281</v>
      </c>
      <c r="V28" s="15" t="s">
        <v>195</v>
      </c>
      <c r="W28" s="15" t="s">
        <v>59</v>
      </c>
      <c r="X28" s="20"/>
      <c r="Y28" s="1"/>
    </row>
    <row r="29" spans="1:25" ht="16.5">
      <c r="A29" s="16" t="s">
        <v>290</v>
      </c>
      <c r="B29" s="16" t="s">
        <v>291</v>
      </c>
      <c r="C29" s="15" t="s">
        <v>292</v>
      </c>
      <c r="D29" s="16" t="s">
        <v>36</v>
      </c>
      <c r="E29" s="16" t="s">
        <v>229</v>
      </c>
      <c r="F29" s="16" t="s">
        <v>28</v>
      </c>
      <c r="G29" s="16" t="s">
        <v>38</v>
      </c>
      <c r="H29" s="16"/>
      <c r="I29" s="16"/>
      <c r="J29" s="17"/>
      <c r="K29" s="17"/>
      <c r="L29" s="16" t="s">
        <v>51</v>
      </c>
      <c r="M29" s="16"/>
      <c r="N29" s="18" t="s">
        <v>293</v>
      </c>
      <c r="O29" s="18" t="s">
        <v>53</v>
      </c>
      <c r="P29" s="19">
        <v>43206</v>
      </c>
      <c r="Q29" s="16" t="str">
        <f t="shared" ca="1" si="1"/>
        <v>7 years 1 months</v>
      </c>
      <c r="R29" s="16" t="s">
        <v>294</v>
      </c>
      <c r="S29" s="16" t="s">
        <v>295</v>
      </c>
      <c r="T29" s="16" t="s">
        <v>296</v>
      </c>
      <c r="U29" s="16" t="s">
        <v>295</v>
      </c>
      <c r="V29" s="15" t="s">
        <v>44</v>
      </c>
      <c r="W29" s="15" t="s">
        <v>44</v>
      </c>
      <c r="X29" s="20"/>
      <c r="Y29" s="1" t="s">
        <v>39</v>
      </c>
    </row>
    <row r="30" spans="1:25" ht="16.5">
      <c r="A30" s="16" t="s">
        <v>297</v>
      </c>
      <c r="B30" s="16" t="s">
        <v>298</v>
      </c>
      <c r="C30" s="15" t="s">
        <v>299</v>
      </c>
      <c r="D30" s="16" t="s">
        <v>100</v>
      </c>
      <c r="E30" s="16" t="s">
        <v>235</v>
      </c>
      <c r="F30" s="16" t="s">
        <v>214</v>
      </c>
      <c r="G30" s="16" t="s">
        <v>215</v>
      </c>
      <c r="H30" s="16"/>
      <c r="I30" s="16" t="s">
        <v>300</v>
      </c>
      <c r="J30" s="17">
        <v>45699</v>
      </c>
      <c r="K30" s="17"/>
      <c r="L30" s="16" t="s">
        <v>51</v>
      </c>
      <c r="M30" s="16"/>
      <c r="N30" s="18" t="s">
        <v>301</v>
      </c>
      <c r="O30" s="18" t="s">
        <v>53</v>
      </c>
      <c r="P30" s="19">
        <v>43525</v>
      </c>
      <c r="Q30" s="16" t="str">
        <f t="shared" ca="1" si="1"/>
        <v>6 years 2 months</v>
      </c>
      <c r="R30" s="16" t="s">
        <v>302</v>
      </c>
      <c r="S30" s="16" t="s">
        <v>303</v>
      </c>
      <c r="T30" s="16" t="s">
        <v>304</v>
      </c>
      <c r="U30" s="16" t="s">
        <v>295</v>
      </c>
      <c r="V30" s="15" t="s">
        <v>195</v>
      </c>
      <c r="W30" s="15" t="s">
        <v>59</v>
      </c>
      <c r="X30" s="20"/>
      <c r="Y30" s="1"/>
    </row>
    <row r="31" spans="1:25" ht="16.5">
      <c r="A31" s="16" t="s">
        <v>305</v>
      </c>
      <c r="B31" s="16" t="s">
        <v>306</v>
      </c>
      <c r="C31" s="15" t="s">
        <v>299</v>
      </c>
      <c r="D31" s="16" t="s">
        <v>76</v>
      </c>
      <c r="E31" s="16" t="s">
        <v>284</v>
      </c>
      <c r="F31" s="16" t="s">
        <v>28</v>
      </c>
      <c r="G31" s="16" t="s">
        <v>50</v>
      </c>
      <c r="H31" s="16"/>
      <c r="I31" s="16"/>
      <c r="J31" s="17">
        <v>45582</v>
      </c>
      <c r="K31" s="17">
        <v>45645</v>
      </c>
      <c r="L31" s="16" t="s">
        <v>51</v>
      </c>
      <c r="M31" s="16"/>
      <c r="N31" s="16" t="s">
        <v>277</v>
      </c>
      <c r="O31" s="18" t="s">
        <v>53</v>
      </c>
      <c r="P31" s="19">
        <v>45107</v>
      </c>
      <c r="Q31" s="16" t="str">
        <f t="shared" ca="1" si="1"/>
        <v>1 years 10 months</v>
      </c>
      <c r="R31" s="16" t="s">
        <v>307</v>
      </c>
      <c r="S31" s="16" t="s">
        <v>308</v>
      </c>
      <c r="T31" s="16" t="s">
        <v>309</v>
      </c>
      <c r="U31" s="16" t="s">
        <v>310</v>
      </c>
      <c r="V31" s="15" t="s">
        <v>311</v>
      </c>
      <c r="W31" s="15" t="s">
        <v>59</v>
      </c>
      <c r="X31" s="24">
        <v>1</v>
      </c>
      <c r="Y31" s="1" t="s">
        <v>78</v>
      </c>
    </row>
    <row r="32" spans="1:25" ht="16.5">
      <c r="A32" s="16" t="s">
        <v>312</v>
      </c>
      <c r="B32" s="16" t="s">
        <v>313</v>
      </c>
      <c r="C32" s="15" t="s">
        <v>314</v>
      </c>
      <c r="D32" s="16" t="s">
        <v>98</v>
      </c>
      <c r="E32" s="16" t="s">
        <v>199</v>
      </c>
      <c r="F32" s="16" t="s">
        <v>214</v>
      </c>
      <c r="G32" s="16" t="s">
        <v>215</v>
      </c>
      <c r="H32" s="16"/>
      <c r="I32" s="16" t="s">
        <v>315</v>
      </c>
      <c r="J32" s="17">
        <v>45705</v>
      </c>
      <c r="K32" s="17"/>
      <c r="L32" s="16" t="s">
        <v>51</v>
      </c>
      <c r="M32" s="16"/>
      <c r="N32" s="16" t="s">
        <v>277</v>
      </c>
      <c r="O32" s="18" t="s">
        <v>80</v>
      </c>
      <c r="P32" s="19">
        <v>44819</v>
      </c>
      <c r="Q32" s="16" t="str">
        <f t="shared" ca="1" si="1"/>
        <v>2 years 8 months</v>
      </c>
      <c r="R32" s="16" t="s">
        <v>316</v>
      </c>
      <c r="S32" s="16" t="s">
        <v>317</v>
      </c>
      <c r="T32" s="16" t="s">
        <v>318</v>
      </c>
      <c r="U32" s="16"/>
      <c r="V32" s="15" t="s">
        <v>311</v>
      </c>
      <c r="W32" s="15" t="s">
        <v>59</v>
      </c>
      <c r="X32" s="24">
        <v>1</v>
      </c>
      <c r="Y32" s="1"/>
    </row>
    <row r="33" spans="1:25" ht="16.5">
      <c r="A33" s="16" t="s">
        <v>319</v>
      </c>
      <c r="B33" s="21" t="s">
        <v>320</v>
      </c>
      <c r="C33" s="15" t="s">
        <v>321</v>
      </c>
      <c r="D33" s="16" t="s">
        <v>76</v>
      </c>
      <c r="E33" s="16" t="s">
        <v>322</v>
      </c>
      <c r="F33" s="16" t="s">
        <v>28</v>
      </c>
      <c r="G33" s="16" t="s">
        <v>65</v>
      </c>
      <c r="H33" s="16"/>
      <c r="I33" s="16" t="s">
        <v>323</v>
      </c>
      <c r="J33" s="17"/>
      <c r="K33" s="17"/>
      <c r="L33" s="16" t="s">
        <v>51</v>
      </c>
      <c r="M33" s="16"/>
      <c r="N33" s="18" t="s">
        <v>65</v>
      </c>
      <c r="O33" s="18" t="s">
        <v>80</v>
      </c>
      <c r="P33" s="19">
        <v>42644</v>
      </c>
      <c r="Q33" s="16" t="str">
        <f t="shared" ca="1" si="1"/>
        <v>8 years 7 months</v>
      </c>
      <c r="R33" s="16" t="s">
        <v>324</v>
      </c>
      <c r="S33" s="16" t="s">
        <v>325</v>
      </c>
      <c r="T33" s="16" t="s">
        <v>326</v>
      </c>
      <c r="U33" s="16" t="s">
        <v>281</v>
      </c>
      <c r="V33" s="15" t="s">
        <v>108</v>
      </c>
      <c r="W33" s="15" t="s">
        <v>109</v>
      </c>
      <c r="X33" s="20"/>
      <c r="Y33" s="1" t="s">
        <v>78</v>
      </c>
    </row>
    <row r="34" spans="1:25" ht="16.5">
      <c r="A34" s="16" t="s">
        <v>327</v>
      </c>
      <c r="B34" s="21" t="s">
        <v>328</v>
      </c>
      <c r="C34" s="15" t="s">
        <v>329</v>
      </c>
      <c r="D34" s="16" t="s">
        <v>137</v>
      </c>
      <c r="E34" s="16" t="s">
        <v>330</v>
      </c>
      <c r="F34" s="16" t="s">
        <v>28</v>
      </c>
      <c r="G34" s="16" t="s">
        <v>65</v>
      </c>
      <c r="H34" s="16"/>
      <c r="I34" s="16" t="s">
        <v>331</v>
      </c>
      <c r="J34" s="17"/>
      <c r="K34" s="17"/>
      <c r="L34" s="16" t="s">
        <v>51</v>
      </c>
      <c r="M34" s="16"/>
      <c r="N34" s="18" t="s">
        <v>65</v>
      </c>
      <c r="O34" s="18" t="s">
        <v>80</v>
      </c>
      <c r="P34" s="19">
        <v>43361</v>
      </c>
      <c r="Q34" s="16" t="str">
        <f t="shared" ca="1" si="1"/>
        <v>6 years 8 months</v>
      </c>
      <c r="R34" s="16" t="s">
        <v>332</v>
      </c>
      <c r="S34" s="16" t="s">
        <v>295</v>
      </c>
      <c r="T34" s="16" t="s">
        <v>333</v>
      </c>
      <c r="U34" s="16" t="s">
        <v>281</v>
      </c>
      <c r="V34" s="15" t="s">
        <v>72</v>
      </c>
      <c r="W34" s="15" t="s">
        <v>72</v>
      </c>
      <c r="X34" s="20"/>
      <c r="Y34" s="1"/>
    </row>
    <row r="35" spans="1:25" ht="16.5">
      <c r="A35" s="16" t="s">
        <v>334</v>
      </c>
      <c r="B35" s="21" t="s">
        <v>335</v>
      </c>
      <c r="C35" s="15" t="s">
        <v>336</v>
      </c>
      <c r="D35" s="16" t="s">
        <v>137</v>
      </c>
      <c r="E35" s="16" t="s">
        <v>330</v>
      </c>
      <c r="F35" s="16" t="s">
        <v>28</v>
      </c>
      <c r="G35" s="16" t="s">
        <v>65</v>
      </c>
      <c r="H35" s="16"/>
      <c r="I35" s="16" t="s">
        <v>337</v>
      </c>
      <c r="J35" s="17"/>
      <c r="K35" s="17"/>
      <c r="L35" s="16" t="s">
        <v>51</v>
      </c>
      <c r="M35" s="16"/>
      <c r="N35" s="18" t="s">
        <v>65</v>
      </c>
      <c r="O35" s="18" t="s">
        <v>80</v>
      </c>
      <c r="P35" s="19">
        <v>42809</v>
      </c>
      <c r="Q35" s="16" t="str">
        <f t="shared" ca="1" si="1"/>
        <v>8 years 2 months</v>
      </c>
      <c r="R35" s="16" t="s">
        <v>338</v>
      </c>
      <c r="S35" s="16" t="s">
        <v>250</v>
      </c>
      <c r="T35" s="16" t="s">
        <v>339</v>
      </c>
      <c r="U35" s="16" t="s">
        <v>340</v>
      </c>
      <c r="V35" s="15" t="s">
        <v>72</v>
      </c>
      <c r="W35" s="15" t="s">
        <v>72</v>
      </c>
      <c r="X35" s="20"/>
      <c r="Y35" s="1"/>
    </row>
    <row r="36" spans="1:25" ht="16.5">
      <c r="A36" s="16" t="s">
        <v>341</v>
      </c>
      <c r="B36" s="21" t="s">
        <v>342</v>
      </c>
      <c r="C36" s="15" t="s">
        <v>343</v>
      </c>
      <c r="D36" s="16" t="s">
        <v>76</v>
      </c>
      <c r="E36" s="16" t="s">
        <v>77</v>
      </c>
      <c r="F36" s="16" t="s">
        <v>28</v>
      </c>
      <c r="G36" s="16" t="s">
        <v>65</v>
      </c>
      <c r="H36" s="16"/>
      <c r="I36" s="16" t="s">
        <v>344</v>
      </c>
      <c r="J36" s="17"/>
      <c r="K36" s="17"/>
      <c r="L36" s="16" t="s">
        <v>51</v>
      </c>
      <c r="M36" s="16"/>
      <c r="N36" s="18" t="s">
        <v>65</v>
      </c>
      <c r="O36" s="18" t="s">
        <v>80</v>
      </c>
      <c r="P36" s="19">
        <v>40634</v>
      </c>
      <c r="Q36" s="16" t="str">
        <f t="shared" ca="1" si="1"/>
        <v>14 years 1 months</v>
      </c>
      <c r="R36" s="16" t="s">
        <v>345</v>
      </c>
      <c r="S36" s="16" t="s">
        <v>346</v>
      </c>
      <c r="T36" s="16" t="s">
        <v>347</v>
      </c>
      <c r="U36" s="16" t="s">
        <v>153</v>
      </c>
      <c r="V36" s="15" t="s">
        <v>108</v>
      </c>
      <c r="W36" s="15" t="s">
        <v>109</v>
      </c>
      <c r="X36" s="20"/>
      <c r="Y36" s="1" t="s">
        <v>78</v>
      </c>
    </row>
    <row r="37" spans="1:25" ht="16.5">
      <c r="A37" s="16" t="s">
        <v>348</v>
      </c>
      <c r="B37" s="16" t="s">
        <v>349</v>
      </c>
      <c r="C37" s="15" t="s">
        <v>350</v>
      </c>
      <c r="D37" s="16" t="s">
        <v>146</v>
      </c>
      <c r="E37" s="16" t="s">
        <v>199</v>
      </c>
      <c r="F37" s="16" t="s">
        <v>214</v>
      </c>
      <c r="G37" s="16" t="s">
        <v>215</v>
      </c>
      <c r="H37" s="16" t="s">
        <v>351</v>
      </c>
      <c r="I37" s="16" t="s">
        <v>352</v>
      </c>
      <c r="J37" s="17">
        <v>45658</v>
      </c>
      <c r="K37" s="17"/>
      <c r="L37" s="16" t="s">
        <v>51</v>
      </c>
      <c r="M37" s="16"/>
      <c r="N37" s="18" t="s">
        <v>353</v>
      </c>
      <c r="O37" s="18" t="s">
        <v>53</v>
      </c>
      <c r="P37" s="19">
        <v>43699</v>
      </c>
      <c r="Q37" s="16" t="str">
        <f t="shared" ca="1" si="1"/>
        <v>5 years 9 months</v>
      </c>
      <c r="R37" s="16" t="s">
        <v>354</v>
      </c>
      <c r="S37" s="16" t="s">
        <v>355</v>
      </c>
      <c r="T37" s="16" t="s">
        <v>356</v>
      </c>
      <c r="U37" s="16" t="s">
        <v>357</v>
      </c>
      <c r="V37" s="15" t="s">
        <v>108</v>
      </c>
      <c r="W37" s="15" t="s">
        <v>109</v>
      </c>
      <c r="X37" s="20"/>
      <c r="Y37" s="1"/>
    </row>
    <row r="38" spans="1:25" ht="16.5">
      <c r="A38" s="16" t="s">
        <v>358</v>
      </c>
      <c r="B38" s="16" t="s">
        <v>359</v>
      </c>
      <c r="C38" s="15" t="s">
        <v>360</v>
      </c>
      <c r="D38" s="16" t="s">
        <v>76</v>
      </c>
      <c r="E38" s="16" t="s">
        <v>221</v>
      </c>
      <c r="F38" s="16" t="s">
        <v>28</v>
      </c>
      <c r="G38" s="16" t="s">
        <v>38</v>
      </c>
      <c r="H38" s="16"/>
      <c r="I38" s="16" t="s">
        <v>223</v>
      </c>
      <c r="J38" s="17"/>
      <c r="K38" s="17"/>
      <c r="L38" s="16" t="s">
        <v>51</v>
      </c>
      <c r="M38" s="16"/>
      <c r="N38" s="18" t="s">
        <v>361</v>
      </c>
      <c r="O38" s="18" t="s">
        <v>53</v>
      </c>
      <c r="P38" s="19">
        <v>44085</v>
      </c>
      <c r="Q38" s="16" t="str">
        <f t="shared" ca="1" si="1"/>
        <v>4 years 8 months</v>
      </c>
      <c r="R38" s="16" t="s">
        <v>362</v>
      </c>
      <c r="S38" s="16" t="s">
        <v>363</v>
      </c>
      <c r="T38" s="16" t="s">
        <v>364</v>
      </c>
      <c r="U38" s="16" t="s">
        <v>363</v>
      </c>
      <c r="V38" s="15" t="s">
        <v>226</v>
      </c>
      <c r="W38" s="15" t="s">
        <v>226</v>
      </c>
      <c r="X38" s="20"/>
      <c r="Y38" s="1" t="s">
        <v>365</v>
      </c>
    </row>
    <row r="39" spans="1:25" ht="16.5">
      <c r="A39" s="16" t="s">
        <v>366</v>
      </c>
      <c r="B39" s="16" t="s">
        <v>367</v>
      </c>
      <c r="C39" s="15" t="s">
        <v>368</v>
      </c>
      <c r="D39" s="16" t="s">
        <v>369</v>
      </c>
      <c r="E39" s="16" t="s">
        <v>370</v>
      </c>
      <c r="F39" s="16" t="s">
        <v>28</v>
      </c>
      <c r="G39" s="16" t="s">
        <v>138</v>
      </c>
      <c r="H39" s="16"/>
      <c r="I39" s="16"/>
      <c r="J39" s="17">
        <v>45600</v>
      </c>
      <c r="K39" s="17">
        <v>45615</v>
      </c>
      <c r="L39" s="16" t="s">
        <v>51</v>
      </c>
      <c r="M39" s="16"/>
      <c r="N39" s="18" t="s">
        <v>191</v>
      </c>
      <c r="O39" s="18" t="s">
        <v>80</v>
      </c>
      <c r="P39" s="19">
        <v>43445</v>
      </c>
      <c r="Q39" s="16" t="str">
        <f t="shared" ca="1" si="1"/>
        <v>6 years 5 months</v>
      </c>
      <c r="R39" s="16" t="s">
        <v>371</v>
      </c>
      <c r="S39" s="16" t="s">
        <v>295</v>
      </c>
      <c r="T39" s="16" t="s">
        <v>372</v>
      </c>
      <c r="U39" s="16" t="s">
        <v>295</v>
      </c>
      <c r="V39" s="15" t="s">
        <v>373</v>
      </c>
      <c r="W39" s="15" t="s">
        <v>374</v>
      </c>
      <c r="X39" s="20">
        <v>0.5</v>
      </c>
      <c r="Y39" s="1"/>
    </row>
    <row r="40" spans="1:25" ht="16.5">
      <c r="A40" s="16" t="s">
        <v>375</v>
      </c>
      <c r="B40" s="16" t="s">
        <v>376</v>
      </c>
      <c r="C40" s="15" t="s">
        <v>377</v>
      </c>
      <c r="D40" s="16" t="s">
        <v>369</v>
      </c>
      <c r="E40" s="16" t="s">
        <v>378</v>
      </c>
      <c r="F40" s="16" t="s">
        <v>28</v>
      </c>
      <c r="G40" s="16" t="s">
        <v>38</v>
      </c>
      <c r="H40" s="16" t="s">
        <v>379</v>
      </c>
      <c r="I40" s="16" t="s">
        <v>380</v>
      </c>
      <c r="J40" s="17"/>
      <c r="K40" s="17"/>
      <c r="L40" s="16" t="s">
        <v>51</v>
      </c>
      <c r="M40" s="16"/>
      <c r="N40" s="18" t="s">
        <v>381</v>
      </c>
      <c r="O40" s="18" t="s">
        <v>53</v>
      </c>
      <c r="P40" s="19">
        <v>43586</v>
      </c>
      <c r="Q40" s="16" t="str">
        <f t="shared" ca="1" si="1"/>
        <v>6 years 0 months</v>
      </c>
      <c r="R40" s="16" t="s">
        <v>382</v>
      </c>
      <c r="S40" s="16" t="s">
        <v>383</v>
      </c>
      <c r="T40" s="16" t="s">
        <v>384</v>
      </c>
      <c r="U40" s="16" t="s">
        <v>383</v>
      </c>
      <c r="V40" s="15" t="s">
        <v>373</v>
      </c>
      <c r="W40" s="15" t="s">
        <v>374</v>
      </c>
      <c r="X40" s="20">
        <v>0.01</v>
      </c>
      <c r="Y40" s="1" t="s">
        <v>385</v>
      </c>
    </row>
    <row r="41" spans="1:25" ht="16.5">
      <c r="A41" s="16" t="s">
        <v>386</v>
      </c>
      <c r="B41" s="16" t="s">
        <v>387</v>
      </c>
      <c r="C41" s="15" t="s">
        <v>388</v>
      </c>
      <c r="D41" s="16" t="s">
        <v>100</v>
      </c>
      <c r="E41" s="16" t="s">
        <v>284</v>
      </c>
      <c r="F41" s="16" t="s">
        <v>28</v>
      </c>
      <c r="G41" s="16" t="s">
        <v>101</v>
      </c>
      <c r="H41" s="16" t="s">
        <v>389</v>
      </c>
      <c r="I41" s="16"/>
      <c r="J41" s="17">
        <v>45717</v>
      </c>
      <c r="K41" s="17">
        <v>45755</v>
      </c>
      <c r="L41" s="16" t="s">
        <v>51</v>
      </c>
      <c r="M41" s="16"/>
      <c r="N41" s="16"/>
      <c r="O41" s="18" t="s">
        <v>53</v>
      </c>
      <c r="P41" s="19">
        <v>44930</v>
      </c>
      <c r="Q41" s="16" t="str">
        <f t="shared" ca="1" si="1"/>
        <v>2 years 4 months</v>
      </c>
      <c r="R41" s="16" t="s">
        <v>390</v>
      </c>
      <c r="S41" s="16" t="s">
        <v>391</v>
      </c>
      <c r="T41" s="16" t="s">
        <v>392</v>
      </c>
      <c r="U41" s="16" t="s">
        <v>107</v>
      </c>
      <c r="V41" s="15" t="s">
        <v>393</v>
      </c>
      <c r="W41" s="15" t="s">
        <v>59</v>
      </c>
      <c r="X41" s="20"/>
      <c r="Y41" s="1"/>
    </row>
    <row r="42" spans="1:25" ht="16.5">
      <c r="A42" s="16" t="s">
        <v>394</v>
      </c>
      <c r="B42" s="16" t="s">
        <v>395</v>
      </c>
      <c r="C42" s="15" t="s">
        <v>388</v>
      </c>
      <c r="D42" s="16" t="s">
        <v>36</v>
      </c>
      <c r="E42" s="16" t="s">
        <v>276</v>
      </c>
      <c r="F42" s="16" t="s">
        <v>28</v>
      </c>
      <c r="G42" s="16" t="s">
        <v>38</v>
      </c>
      <c r="H42" s="16"/>
      <c r="I42" s="16"/>
      <c r="J42" s="17">
        <v>44930</v>
      </c>
      <c r="K42" s="17">
        <v>45383</v>
      </c>
      <c r="L42" s="16" t="s">
        <v>51</v>
      </c>
      <c r="M42" s="16"/>
      <c r="N42" s="18" t="s">
        <v>40</v>
      </c>
      <c r="O42" s="18" t="s">
        <v>53</v>
      </c>
      <c r="P42" s="19">
        <v>44930</v>
      </c>
      <c r="Q42" s="16" t="str">
        <f t="shared" ca="1" si="1"/>
        <v>2 years 4 months</v>
      </c>
      <c r="R42" s="16" t="s">
        <v>396</v>
      </c>
      <c r="S42" s="16" t="s">
        <v>397</v>
      </c>
      <c r="T42" s="16" t="s">
        <v>398</v>
      </c>
      <c r="U42" s="16" t="s">
        <v>397</v>
      </c>
      <c r="V42" s="15" t="s">
        <v>44</v>
      </c>
      <c r="W42" s="15" t="s">
        <v>44</v>
      </c>
      <c r="X42" s="20"/>
      <c r="Y42" s="1" t="s">
        <v>39</v>
      </c>
    </row>
    <row r="43" spans="1:25" ht="16.5">
      <c r="A43" s="16" t="s">
        <v>399</v>
      </c>
      <c r="B43" s="16" t="s">
        <v>400</v>
      </c>
      <c r="C43" s="15" t="s">
        <v>388</v>
      </c>
      <c r="D43" s="16" t="s">
        <v>98</v>
      </c>
      <c r="E43" s="16" t="s">
        <v>284</v>
      </c>
      <c r="F43" s="16" t="s">
        <v>401</v>
      </c>
      <c r="G43" s="16" t="s">
        <v>269</v>
      </c>
      <c r="H43" s="16"/>
      <c r="I43" s="16" t="s">
        <v>402</v>
      </c>
      <c r="J43" s="17">
        <v>45603</v>
      </c>
      <c r="K43" s="17">
        <v>45615</v>
      </c>
      <c r="L43" s="16" t="s">
        <v>51</v>
      </c>
      <c r="M43" s="16"/>
      <c r="N43" s="18" t="s">
        <v>269</v>
      </c>
      <c r="O43" s="18" t="s">
        <v>53</v>
      </c>
      <c r="P43" s="19">
        <v>44931</v>
      </c>
      <c r="Q43" s="16" t="str">
        <f t="shared" ca="1" si="1"/>
        <v>2 years 4 months</v>
      </c>
      <c r="R43" s="16" t="s">
        <v>403</v>
      </c>
      <c r="S43" s="16" t="s">
        <v>404</v>
      </c>
      <c r="T43" s="16" t="s">
        <v>405</v>
      </c>
      <c r="U43" s="16"/>
      <c r="V43" s="15" t="s">
        <v>195</v>
      </c>
      <c r="W43" s="15" t="s">
        <v>59</v>
      </c>
      <c r="X43" s="36">
        <v>0.5</v>
      </c>
      <c r="Y43" s="1"/>
    </row>
    <row r="44" spans="1:25" ht="16.5">
      <c r="A44" s="16" t="s">
        <v>406</v>
      </c>
      <c r="B44" s="16" t="s">
        <v>407</v>
      </c>
      <c r="C44" s="15" t="s">
        <v>388</v>
      </c>
      <c r="D44" s="16" t="s">
        <v>36</v>
      </c>
      <c r="E44" s="16" t="s">
        <v>276</v>
      </c>
      <c r="F44" s="16" t="s">
        <v>214</v>
      </c>
      <c r="G44" s="16" t="s">
        <v>215</v>
      </c>
      <c r="H44" s="29" t="s">
        <v>408</v>
      </c>
      <c r="I44" s="16" t="s">
        <v>44</v>
      </c>
      <c r="J44" s="17">
        <v>45748</v>
      </c>
      <c r="K44" s="17"/>
      <c r="L44" s="16" t="s">
        <v>51</v>
      </c>
      <c r="M44" s="16"/>
      <c r="N44" s="18" t="s">
        <v>409</v>
      </c>
      <c r="O44" s="18" t="s">
        <v>53</v>
      </c>
      <c r="P44" s="19">
        <v>44930</v>
      </c>
      <c r="Q44" s="16" t="str">
        <f t="shared" ca="1" si="1"/>
        <v>2 years 4 months</v>
      </c>
      <c r="R44" s="16" t="s">
        <v>410</v>
      </c>
      <c r="S44" s="16" t="s">
        <v>411</v>
      </c>
      <c r="T44" s="16" t="s">
        <v>412</v>
      </c>
      <c r="U44" s="16" t="s">
        <v>413</v>
      </c>
      <c r="V44" s="15" t="s">
        <v>44</v>
      </c>
      <c r="W44" s="15" t="s">
        <v>44</v>
      </c>
      <c r="X44" s="20"/>
      <c r="Y44" s="1"/>
    </row>
    <row r="45" spans="1:25" ht="16.5">
      <c r="A45" s="16" t="s">
        <v>414</v>
      </c>
      <c r="B45" s="16" t="s">
        <v>415</v>
      </c>
      <c r="C45" s="15" t="s">
        <v>388</v>
      </c>
      <c r="D45" s="16" t="s">
        <v>76</v>
      </c>
      <c r="E45" s="16" t="s">
        <v>284</v>
      </c>
      <c r="F45" s="16" t="s">
        <v>214</v>
      </c>
      <c r="G45" s="16" t="s">
        <v>215</v>
      </c>
      <c r="H45" s="16"/>
      <c r="I45" s="16"/>
      <c r="J45" s="17">
        <v>45717</v>
      </c>
      <c r="K45" s="17"/>
      <c r="L45" s="16" t="s">
        <v>51</v>
      </c>
      <c r="M45" s="16"/>
      <c r="N45" s="16"/>
      <c r="O45" s="18" t="s">
        <v>53</v>
      </c>
      <c r="P45" s="19">
        <v>44930</v>
      </c>
      <c r="Q45" s="16" t="str">
        <f t="shared" ca="1" si="1"/>
        <v>2 years 4 months</v>
      </c>
      <c r="R45" s="16" t="s">
        <v>416</v>
      </c>
      <c r="S45" s="16" t="s">
        <v>417</v>
      </c>
      <c r="T45" s="16" t="s">
        <v>418</v>
      </c>
      <c r="U45" s="16"/>
      <c r="V45" s="15" t="s">
        <v>311</v>
      </c>
      <c r="W45" s="15" t="s">
        <v>59</v>
      </c>
      <c r="X45" s="20"/>
      <c r="Y45" s="1"/>
    </row>
    <row r="46" spans="1:25" ht="16.5">
      <c r="A46" s="16" t="s">
        <v>419</v>
      </c>
      <c r="B46" s="16" t="s">
        <v>420</v>
      </c>
      <c r="C46" s="15" t="s">
        <v>388</v>
      </c>
      <c r="D46" s="16" t="s">
        <v>76</v>
      </c>
      <c r="E46" s="37" t="s">
        <v>284</v>
      </c>
      <c r="F46" s="16" t="s">
        <v>28</v>
      </c>
      <c r="G46" s="16" t="s">
        <v>38</v>
      </c>
      <c r="H46" s="16"/>
      <c r="I46" s="16"/>
      <c r="J46" s="17">
        <v>44930</v>
      </c>
      <c r="K46" s="17">
        <v>45726</v>
      </c>
      <c r="L46" s="16" t="s">
        <v>51</v>
      </c>
      <c r="M46" s="16"/>
      <c r="N46" s="18" t="s">
        <v>157</v>
      </c>
      <c r="O46" s="18" t="s">
        <v>53</v>
      </c>
      <c r="P46" s="19">
        <v>45111</v>
      </c>
      <c r="Q46" s="16" t="str">
        <f t="shared" ca="1" si="1"/>
        <v>1 years 10 months</v>
      </c>
      <c r="R46" s="16" t="s">
        <v>421</v>
      </c>
      <c r="S46" s="16" t="s">
        <v>422</v>
      </c>
      <c r="T46" s="16" t="s">
        <v>193</v>
      </c>
      <c r="U46" s="16"/>
      <c r="V46" s="15" t="s">
        <v>83</v>
      </c>
      <c r="W46" s="15" t="s">
        <v>84</v>
      </c>
      <c r="X46" s="20"/>
      <c r="Y46" s="1" t="s">
        <v>78</v>
      </c>
    </row>
    <row r="47" spans="1:25" ht="16.5">
      <c r="A47" s="16" t="s">
        <v>423</v>
      </c>
      <c r="B47" s="16" t="s">
        <v>424</v>
      </c>
      <c r="C47" s="15" t="s">
        <v>388</v>
      </c>
      <c r="D47" s="16" t="s">
        <v>198</v>
      </c>
      <c r="E47" s="16" t="s">
        <v>284</v>
      </c>
      <c r="F47" s="16" t="s">
        <v>28</v>
      </c>
      <c r="G47" s="16" t="s">
        <v>425</v>
      </c>
      <c r="H47" s="16" t="s">
        <v>426</v>
      </c>
      <c r="I47" s="16"/>
      <c r="J47" s="17">
        <v>45658</v>
      </c>
      <c r="K47" s="17"/>
      <c r="L47" s="16" t="s">
        <v>51</v>
      </c>
      <c r="M47" s="16"/>
      <c r="N47" s="16" t="s">
        <v>425</v>
      </c>
      <c r="O47" s="18" t="s">
        <v>53</v>
      </c>
      <c r="P47" s="19">
        <v>44930</v>
      </c>
      <c r="Q47" s="16" t="str">
        <f t="shared" ca="1" si="1"/>
        <v>2 years 4 months</v>
      </c>
      <c r="R47" s="16" t="s">
        <v>427</v>
      </c>
      <c r="S47" s="16" t="s">
        <v>428</v>
      </c>
      <c r="T47" s="16" t="s">
        <v>429</v>
      </c>
      <c r="U47" s="16"/>
      <c r="V47" s="15" t="s">
        <v>120</v>
      </c>
      <c r="W47" s="15" t="s">
        <v>121</v>
      </c>
      <c r="X47" s="36">
        <v>1</v>
      </c>
      <c r="Y47" s="1"/>
    </row>
    <row r="48" spans="1:25" ht="16.5">
      <c r="A48" s="16" t="s">
        <v>430</v>
      </c>
      <c r="B48" s="16" t="s">
        <v>431</v>
      </c>
      <c r="C48" s="15" t="s">
        <v>388</v>
      </c>
      <c r="D48" s="16" t="s">
        <v>98</v>
      </c>
      <c r="E48" s="16" t="s">
        <v>284</v>
      </c>
      <c r="F48" s="16" t="s">
        <v>214</v>
      </c>
      <c r="G48" s="16" t="s">
        <v>215</v>
      </c>
      <c r="H48" s="16"/>
      <c r="I48" s="16" t="s">
        <v>432</v>
      </c>
      <c r="J48" s="17">
        <v>45706</v>
      </c>
      <c r="K48" s="17"/>
      <c r="L48" s="16" t="s">
        <v>51</v>
      </c>
      <c r="M48" s="16"/>
      <c r="N48" s="18" t="s">
        <v>215</v>
      </c>
      <c r="O48" s="18" t="s">
        <v>53</v>
      </c>
      <c r="P48" s="19">
        <v>44930</v>
      </c>
      <c r="Q48" s="16" t="str">
        <f t="shared" ca="1" si="1"/>
        <v>2 years 4 months</v>
      </c>
      <c r="R48" s="16" t="s">
        <v>433</v>
      </c>
      <c r="S48" s="16" t="s">
        <v>428</v>
      </c>
      <c r="T48" s="16" t="s">
        <v>405</v>
      </c>
      <c r="U48" s="16"/>
      <c r="V48" s="15" t="s">
        <v>195</v>
      </c>
      <c r="W48" s="15" t="s">
        <v>59</v>
      </c>
      <c r="X48" s="36">
        <v>0.5</v>
      </c>
      <c r="Y48" s="1"/>
    </row>
    <row r="49" spans="1:25" ht="16.5">
      <c r="A49" s="16" t="s">
        <v>434</v>
      </c>
      <c r="B49" s="16" t="s">
        <v>435</v>
      </c>
      <c r="C49" s="15" t="s">
        <v>436</v>
      </c>
      <c r="D49" s="16" t="s">
        <v>125</v>
      </c>
      <c r="E49" s="16" t="s">
        <v>207</v>
      </c>
      <c r="F49" s="16" t="s">
        <v>28</v>
      </c>
      <c r="G49" s="16" t="s">
        <v>38</v>
      </c>
      <c r="H49" s="16"/>
      <c r="I49" s="16" t="s">
        <v>437</v>
      </c>
      <c r="J49" s="17"/>
      <c r="K49" s="17"/>
      <c r="L49" s="16" t="s">
        <v>51</v>
      </c>
      <c r="M49" s="16"/>
      <c r="N49" s="18" t="s">
        <v>79</v>
      </c>
      <c r="O49" s="18" t="s">
        <v>53</v>
      </c>
      <c r="P49" s="19">
        <v>43612</v>
      </c>
      <c r="Q49" s="16" t="str">
        <f t="shared" ca="1" si="1"/>
        <v>6 years 0 months</v>
      </c>
      <c r="R49" s="16" t="s">
        <v>438</v>
      </c>
      <c r="S49" s="16" t="s">
        <v>130</v>
      </c>
      <c r="T49" s="16" t="s">
        <v>439</v>
      </c>
      <c r="U49" s="16"/>
      <c r="V49" s="15" t="s">
        <v>72</v>
      </c>
      <c r="W49" s="15" t="s">
        <v>72</v>
      </c>
      <c r="X49" s="20"/>
      <c r="Y49" s="1" t="s">
        <v>133</v>
      </c>
    </row>
    <row r="50" spans="1:25" ht="16.5">
      <c r="A50" s="16" t="s">
        <v>440</v>
      </c>
      <c r="B50" s="16" t="s">
        <v>441</v>
      </c>
      <c r="C50" s="15" t="s">
        <v>442</v>
      </c>
      <c r="D50" s="16" t="s">
        <v>100</v>
      </c>
      <c r="E50" s="16" t="s">
        <v>284</v>
      </c>
      <c r="F50" s="16" t="s">
        <v>214</v>
      </c>
      <c r="G50" s="16" t="s">
        <v>215</v>
      </c>
      <c r="H50" s="16" t="s">
        <v>443</v>
      </c>
      <c r="I50" s="16" t="s">
        <v>444</v>
      </c>
      <c r="J50" s="17">
        <v>45705</v>
      </c>
      <c r="K50" s="17"/>
      <c r="L50" s="16" t="s">
        <v>51</v>
      </c>
      <c r="M50" s="16"/>
      <c r="N50" s="16" t="s">
        <v>269</v>
      </c>
      <c r="O50" s="18" t="s">
        <v>53</v>
      </c>
      <c r="P50" s="19">
        <v>45139</v>
      </c>
      <c r="Q50" s="16" t="str">
        <f t="shared" ca="1" si="1"/>
        <v>1 years 9 months</v>
      </c>
      <c r="R50" s="16" t="s">
        <v>445</v>
      </c>
      <c r="S50" s="16" t="s">
        <v>397</v>
      </c>
      <c r="T50" s="16" t="s">
        <v>446</v>
      </c>
      <c r="U50" s="16" t="s">
        <v>310</v>
      </c>
      <c r="V50" s="15" t="s">
        <v>195</v>
      </c>
      <c r="W50" s="15" t="s">
        <v>59</v>
      </c>
      <c r="X50" s="36">
        <v>1</v>
      </c>
      <c r="Y50" s="1"/>
    </row>
    <row r="51" spans="1:25" ht="16.5">
      <c r="A51" s="16" t="s">
        <v>447</v>
      </c>
      <c r="B51" s="16" t="s">
        <v>448</v>
      </c>
      <c r="C51" s="15" t="s">
        <v>442</v>
      </c>
      <c r="D51" s="16" t="s">
        <v>198</v>
      </c>
      <c r="E51" s="16" t="s">
        <v>449</v>
      </c>
      <c r="F51" s="16" t="s">
        <v>214</v>
      </c>
      <c r="G51" s="16" t="s">
        <v>215</v>
      </c>
      <c r="H51" s="16"/>
      <c r="I51" s="16"/>
      <c r="J51" s="17">
        <v>45757</v>
      </c>
      <c r="K51" s="17"/>
      <c r="L51" s="16" t="s">
        <v>51</v>
      </c>
      <c r="M51" s="16"/>
      <c r="N51" s="18" t="s">
        <v>115</v>
      </c>
      <c r="O51" s="18" t="s">
        <v>53</v>
      </c>
      <c r="P51" s="19">
        <v>44166</v>
      </c>
      <c r="Q51" s="16" t="str">
        <f t="shared" ca="1" si="1"/>
        <v>4 years 5 months</v>
      </c>
      <c r="R51" s="16" t="s">
        <v>450</v>
      </c>
      <c r="S51" s="16" t="s">
        <v>71</v>
      </c>
      <c r="T51" s="16" t="s">
        <v>451</v>
      </c>
      <c r="U51" s="16"/>
      <c r="V51" s="15" t="s">
        <v>120</v>
      </c>
      <c r="W51" s="15" t="s">
        <v>121</v>
      </c>
      <c r="X51" s="20"/>
      <c r="Y51" s="1"/>
    </row>
    <row r="52" spans="1:25" ht="16.5">
      <c r="A52" s="16" t="s">
        <v>452</v>
      </c>
      <c r="B52" s="16" t="s">
        <v>453</v>
      </c>
      <c r="C52" s="15" t="s">
        <v>442</v>
      </c>
      <c r="D52" s="16" t="s">
        <v>137</v>
      </c>
      <c r="E52" s="16" t="s">
        <v>454</v>
      </c>
      <c r="F52" s="16" t="s">
        <v>28</v>
      </c>
      <c r="G52" s="16" t="s">
        <v>269</v>
      </c>
      <c r="H52" s="16" t="s">
        <v>455</v>
      </c>
      <c r="I52" s="16" t="s">
        <v>72</v>
      </c>
      <c r="J52" s="17">
        <v>45600</v>
      </c>
      <c r="K52" s="17">
        <v>45615</v>
      </c>
      <c r="L52" s="16" t="s">
        <v>51</v>
      </c>
      <c r="M52" s="16"/>
      <c r="N52" s="16" t="s">
        <v>269</v>
      </c>
      <c r="O52" s="18" t="s">
        <v>80</v>
      </c>
      <c r="P52" s="19">
        <v>44943</v>
      </c>
      <c r="Q52" s="16" t="str">
        <f t="shared" ca="1" si="1"/>
        <v>2 years 4 months</v>
      </c>
      <c r="R52" s="15" t="s">
        <v>456</v>
      </c>
      <c r="S52" s="16" t="s">
        <v>457</v>
      </c>
      <c r="T52" s="16" t="s">
        <v>458</v>
      </c>
      <c r="U52" s="16" t="s">
        <v>459</v>
      </c>
      <c r="V52" s="15" t="s">
        <v>72</v>
      </c>
      <c r="W52" s="15" t="s">
        <v>72</v>
      </c>
      <c r="X52" s="36">
        <v>1</v>
      </c>
      <c r="Y52" s="1"/>
    </row>
    <row r="53" spans="1:25" ht="301.5">
      <c r="A53" s="16" t="s">
        <v>460</v>
      </c>
      <c r="B53" s="16" t="s">
        <v>461</v>
      </c>
      <c r="C53" s="15" t="s">
        <v>462</v>
      </c>
      <c r="D53" s="16" t="s">
        <v>463</v>
      </c>
      <c r="E53" s="16" t="s">
        <v>464</v>
      </c>
      <c r="F53" s="16" t="s">
        <v>28</v>
      </c>
      <c r="G53" s="16" t="s">
        <v>138</v>
      </c>
      <c r="H53" s="38" t="s">
        <v>465</v>
      </c>
      <c r="I53" s="16"/>
      <c r="J53" s="17">
        <v>44986</v>
      </c>
      <c r="K53" s="17">
        <v>45355</v>
      </c>
      <c r="L53" s="16" t="s">
        <v>51</v>
      </c>
      <c r="M53" s="16"/>
      <c r="N53" s="18" t="s">
        <v>141</v>
      </c>
      <c r="O53" s="18" t="s">
        <v>53</v>
      </c>
      <c r="P53" s="19">
        <v>41811</v>
      </c>
      <c r="Q53" s="16" t="str">
        <f t="shared" ca="1" si="1"/>
        <v>10 years 11 months</v>
      </c>
      <c r="R53" s="16" t="s">
        <v>466</v>
      </c>
      <c r="S53" s="16" t="s">
        <v>467</v>
      </c>
      <c r="T53" s="16" t="s">
        <v>468</v>
      </c>
      <c r="U53" s="16"/>
      <c r="V53" s="15" t="s">
        <v>108</v>
      </c>
      <c r="W53" s="15" t="s">
        <v>109</v>
      </c>
      <c r="X53" s="20"/>
      <c r="Y53" s="1"/>
    </row>
    <row r="54" spans="1:25" ht="16.5">
      <c r="A54" s="16" t="s">
        <v>469</v>
      </c>
      <c r="B54" s="16" t="s">
        <v>470</v>
      </c>
      <c r="C54" s="15" t="s">
        <v>471</v>
      </c>
      <c r="D54" s="16" t="s">
        <v>36</v>
      </c>
      <c r="E54" s="16" t="s">
        <v>472</v>
      </c>
      <c r="F54" s="16" t="s">
        <v>214</v>
      </c>
      <c r="G54" s="16" t="s">
        <v>215</v>
      </c>
      <c r="H54" s="16" t="s">
        <v>473</v>
      </c>
      <c r="I54" s="16"/>
      <c r="J54" s="17">
        <v>45726</v>
      </c>
      <c r="K54" s="17"/>
      <c r="L54" s="16" t="s">
        <v>51</v>
      </c>
      <c r="M54" s="16"/>
      <c r="N54" s="18" t="s">
        <v>474</v>
      </c>
      <c r="O54" s="18" t="s">
        <v>53</v>
      </c>
      <c r="P54" s="19">
        <v>43367</v>
      </c>
      <c r="Q54" s="16" t="str">
        <f t="shared" ca="1" si="1"/>
        <v>6 years 8 months</v>
      </c>
      <c r="R54" s="16" t="s">
        <v>475</v>
      </c>
      <c r="S54" s="16" t="s">
        <v>295</v>
      </c>
      <c r="T54" s="16" t="s">
        <v>476</v>
      </c>
      <c r="U54" s="16"/>
      <c r="V54" s="15" t="s">
        <v>44</v>
      </c>
      <c r="W54" s="15" t="s">
        <v>44</v>
      </c>
      <c r="X54" s="20"/>
      <c r="Y54" s="1"/>
    </row>
    <row r="55" spans="1:25" ht="16.5">
      <c r="A55" s="16" t="s">
        <v>477</v>
      </c>
      <c r="B55" s="16" t="s">
        <v>478</v>
      </c>
      <c r="C55" s="15" t="s">
        <v>479</v>
      </c>
      <c r="D55" s="16" t="s">
        <v>100</v>
      </c>
      <c r="E55" s="37" t="s">
        <v>284</v>
      </c>
      <c r="F55" s="16" t="s">
        <v>214</v>
      </c>
      <c r="G55" s="16" t="s">
        <v>215</v>
      </c>
      <c r="H55" s="34" t="s">
        <v>480</v>
      </c>
      <c r="I55" s="16" t="s">
        <v>481</v>
      </c>
      <c r="J55" s="17">
        <v>45748</v>
      </c>
      <c r="K55" s="17"/>
      <c r="L55" s="16" t="s">
        <v>51</v>
      </c>
      <c r="M55" s="16"/>
      <c r="N55" s="18" t="s">
        <v>409</v>
      </c>
      <c r="O55" s="18" t="s">
        <v>80</v>
      </c>
      <c r="P55" s="19">
        <v>44986</v>
      </c>
      <c r="Q55" s="16" t="str">
        <f t="shared" ca="1" si="1"/>
        <v>2 years 2 months</v>
      </c>
      <c r="R55" s="16" t="s">
        <v>482</v>
      </c>
      <c r="S55" s="16" t="s">
        <v>391</v>
      </c>
      <c r="T55" s="16" t="s">
        <v>483</v>
      </c>
      <c r="U55" s="16"/>
      <c r="V55" s="15" t="s">
        <v>83</v>
      </c>
      <c r="W55" s="15" t="s">
        <v>84</v>
      </c>
      <c r="X55" s="20"/>
      <c r="Y55" s="1"/>
    </row>
    <row r="56" spans="1:25" ht="16.5">
      <c r="A56" s="16" t="s">
        <v>484</v>
      </c>
      <c r="B56" s="16" t="s">
        <v>485</v>
      </c>
      <c r="C56" s="15" t="s">
        <v>486</v>
      </c>
      <c r="D56" s="16" t="s">
        <v>125</v>
      </c>
      <c r="E56" s="16" t="s">
        <v>64</v>
      </c>
      <c r="F56" s="16" t="s">
        <v>28</v>
      </c>
      <c r="G56" s="16" t="s">
        <v>38</v>
      </c>
      <c r="H56" s="16"/>
      <c r="I56" s="16" t="s">
        <v>487</v>
      </c>
      <c r="J56" s="17"/>
      <c r="K56" s="17"/>
      <c r="L56" s="16" t="s">
        <v>51</v>
      </c>
      <c r="M56" s="16"/>
      <c r="N56" s="18" t="s">
        <v>79</v>
      </c>
      <c r="O56" s="18" t="s">
        <v>53</v>
      </c>
      <c r="P56" s="19">
        <v>42963</v>
      </c>
      <c r="Q56" s="16" t="str">
        <f t="shared" ca="1" si="1"/>
        <v>7 years 9 months</v>
      </c>
      <c r="R56" s="16" t="s">
        <v>488</v>
      </c>
      <c r="S56" s="16" t="s">
        <v>168</v>
      </c>
      <c r="T56" s="16" t="s">
        <v>489</v>
      </c>
      <c r="U56" s="16"/>
      <c r="V56" s="15" t="s">
        <v>72</v>
      </c>
      <c r="W56" s="15" t="s">
        <v>72</v>
      </c>
      <c r="X56" s="20"/>
      <c r="Y56" s="1" t="s">
        <v>133</v>
      </c>
    </row>
    <row r="57" spans="1:25" ht="16.5">
      <c r="A57" s="16" t="s">
        <v>490</v>
      </c>
      <c r="B57" s="16" t="s">
        <v>491</v>
      </c>
      <c r="C57" s="15" t="s">
        <v>492</v>
      </c>
      <c r="D57" s="16" t="s">
        <v>146</v>
      </c>
      <c r="E57" s="16" t="s">
        <v>77</v>
      </c>
      <c r="F57" s="16" t="s">
        <v>28</v>
      </c>
      <c r="G57" s="16" t="s">
        <v>149</v>
      </c>
      <c r="H57" s="16"/>
      <c r="I57" s="16" t="s">
        <v>493</v>
      </c>
      <c r="J57" s="17"/>
      <c r="K57" s="17"/>
      <c r="L57" s="16" t="s">
        <v>51</v>
      </c>
      <c r="M57" s="16"/>
      <c r="N57" s="18" t="s">
        <v>149</v>
      </c>
      <c r="O57" s="18" t="s">
        <v>53</v>
      </c>
      <c r="P57" s="19">
        <v>43059</v>
      </c>
      <c r="Q57" s="16" t="str">
        <f t="shared" ca="1" si="1"/>
        <v>7 years 6 months</v>
      </c>
      <c r="R57" s="16" t="s">
        <v>494</v>
      </c>
      <c r="S57" s="16" t="s">
        <v>495</v>
      </c>
      <c r="T57" s="16" t="s">
        <v>496</v>
      </c>
      <c r="U57" s="16" t="s">
        <v>107</v>
      </c>
      <c r="V57" s="15" t="s">
        <v>108</v>
      </c>
      <c r="W57" s="15" t="s">
        <v>109</v>
      </c>
      <c r="X57" s="20"/>
      <c r="Y57" s="1" t="s">
        <v>497</v>
      </c>
    </row>
    <row r="58" spans="1:25" ht="16.5">
      <c r="A58" s="16" t="s">
        <v>498</v>
      </c>
      <c r="B58" s="16" t="s">
        <v>499</v>
      </c>
      <c r="C58" s="15" t="s">
        <v>500</v>
      </c>
      <c r="D58" s="16" t="s">
        <v>206</v>
      </c>
      <c r="E58" s="16" t="s">
        <v>330</v>
      </c>
      <c r="F58" s="16" t="s">
        <v>214</v>
      </c>
      <c r="G58" s="16" t="s">
        <v>215</v>
      </c>
      <c r="H58" s="34" t="s">
        <v>501</v>
      </c>
      <c r="I58" s="16"/>
      <c r="J58" s="17"/>
      <c r="K58" s="17"/>
      <c r="L58" s="16" t="s">
        <v>51</v>
      </c>
      <c r="M58" s="16"/>
      <c r="N58" s="18"/>
      <c r="O58" s="18" t="s">
        <v>53</v>
      </c>
      <c r="P58" s="19">
        <v>41935</v>
      </c>
      <c r="Q58" s="16" t="str">
        <f t="shared" ca="1" si="1"/>
        <v>10 years 7 months</v>
      </c>
      <c r="R58" s="16" t="s">
        <v>502</v>
      </c>
      <c r="S58" s="16" t="s">
        <v>161</v>
      </c>
      <c r="T58" s="16" t="s">
        <v>503</v>
      </c>
      <c r="U58" s="16" t="s">
        <v>57</v>
      </c>
      <c r="V58" s="15" t="s">
        <v>72</v>
      </c>
      <c r="W58" s="15" t="s">
        <v>72</v>
      </c>
      <c r="X58" s="20"/>
      <c r="Y58" s="1"/>
    </row>
    <row r="59" spans="1:25" ht="16.5">
      <c r="A59" s="16" t="s">
        <v>504</v>
      </c>
      <c r="B59" s="16" t="s">
        <v>505</v>
      </c>
      <c r="C59" s="15" t="s">
        <v>506</v>
      </c>
      <c r="D59" s="16" t="s">
        <v>36</v>
      </c>
      <c r="E59" s="16" t="s">
        <v>507</v>
      </c>
      <c r="F59" s="16" t="s">
        <v>28</v>
      </c>
      <c r="G59" s="16" t="s">
        <v>38</v>
      </c>
      <c r="H59" s="16"/>
      <c r="I59" s="16"/>
      <c r="J59" s="17"/>
      <c r="K59" s="17"/>
      <c r="L59" s="16" t="s">
        <v>51</v>
      </c>
      <c r="M59" s="16"/>
      <c r="N59" s="18" t="s">
        <v>181</v>
      </c>
      <c r="O59" s="18" t="s">
        <v>80</v>
      </c>
      <c r="P59" s="19">
        <v>36955</v>
      </c>
      <c r="Q59" s="16" t="str">
        <f t="shared" ca="1" si="1"/>
        <v>24 years 2 months</v>
      </c>
      <c r="R59" s="16" t="s">
        <v>508</v>
      </c>
      <c r="S59" s="16" t="s">
        <v>509</v>
      </c>
      <c r="T59" s="16" t="s">
        <v>510</v>
      </c>
      <c r="U59" s="16"/>
      <c r="V59" s="15" t="s">
        <v>184</v>
      </c>
      <c r="W59" s="15" t="s">
        <v>185</v>
      </c>
      <c r="X59" s="20"/>
      <c r="Y59" s="1" t="s">
        <v>39</v>
      </c>
    </row>
    <row r="60" spans="1:25" ht="16.5">
      <c r="A60" s="16" t="s">
        <v>511</v>
      </c>
      <c r="B60" s="16" t="s">
        <v>512</v>
      </c>
      <c r="C60" s="15" t="s">
        <v>513</v>
      </c>
      <c r="D60" s="16" t="s">
        <v>76</v>
      </c>
      <c r="E60" s="16" t="s">
        <v>49</v>
      </c>
      <c r="F60" s="16" t="s">
        <v>28</v>
      </c>
      <c r="G60" s="16" t="s">
        <v>38</v>
      </c>
      <c r="H60" s="16"/>
      <c r="I60" s="16"/>
      <c r="J60" s="17"/>
      <c r="K60" s="17"/>
      <c r="L60" s="16" t="s">
        <v>51</v>
      </c>
      <c r="M60" s="16"/>
      <c r="N60" s="18" t="s">
        <v>128</v>
      </c>
      <c r="O60" s="18" t="s">
        <v>53</v>
      </c>
      <c r="P60" s="19">
        <v>42276</v>
      </c>
      <c r="Q60" s="16" t="str">
        <f t="shared" ca="1" si="1"/>
        <v>9 years 8 months</v>
      </c>
      <c r="R60" s="16" t="s">
        <v>481</v>
      </c>
      <c r="S60" s="16" t="s">
        <v>514</v>
      </c>
      <c r="T60" s="16" t="s">
        <v>515</v>
      </c>
      <c r="U60" s="16"/>
      <c r="V60" s="15" t="s">
        <v>83</v>
      </c>
      <c r="W60" s="15" t="s">
        <v>84</v>
      </c>
      <c r="X60" s="20"/>
      <c r="Y60" s="1" t="s">
        <v>78</v>
      </c>
    </row>
    <row r="61" spans="1:25" ht="16.5">
      <c r="A61" s="16" t="s">
        <v>516</v>
      </c>
      <c r="B61" s="16" t="s">
        <v>517</v>
      </c>
      <c r="C61" s="15" t="s">
        <v>518</v>
      </c>
      <c r="D61" s="16" t="s">
        <v>76</v>
      </c>
      <c r="E61" s="16" t="s">
        <v>199</v>
      </c>
      <c r="F61" s="16" t="s">
        <v>28</v>
      </c>
      <c r="G61" s="16" t="s">
        <v>50</v>
      </c>
      <c r="H61" s="16" t="s">
        <v>519</v>
      </c>
      <c r="I61" s="16"/>
      <c r="J61" s="17">
        <v>45600</v>
      </c>
      <c r="K61" s="17">
        <v>45645</v>
      </c>
      <c r="L61" s="16" t="s">
        <v>51</v>
      </c>
      <c r="M61" s="16"/>
      <c r="N61" s="16" t="s">
        <v>520</v>
      </c>
      <c r="O61" s="18" t="s">
        <v>53</v>
      </c>
      <c r="P61" s="19">
        <v>44256</v>
      </c>
      <c r="Q61" s="16" t="str">
        <f t="shared" ca="1" si="1"/>
        <v>4 years 2 months</v>
      </c>
      <c r="R61" s="16" t="s">
        <v>521</v>
      </c>
      <c r="S61" s="16" t="s">
        <v>71</v>
      </c>
      <c r="T61" s="16" t="s">
        <v>193</v>
      </c>
      <c r="U61" s="16" t="s">
        <v>71</v>
      </c>
      <c r="V61" s="15" t="s">
        <v>311</v>
      </c>
      <c r="W61" s="15" t="s">
        <v>59</v>
      </c>
      <c r="X61" s="24">
        <v>1</v>
      </c>
      <c r="Y61" s="1" t="s">
        <v>78</v>
      </c>
    </row>
    <row r="62" spans="1:25" ht="16.5">
      <c r="A62" s="16" t="s">
        <v>522</v>
      </c>
      <c r="B62" s="16" t="s">
        <v>523</v>
      </c>
      <c r="C62" s="15" t="s">
        <v>524</v>
      </c>
      <c r="D62" s="16" t="s">
        <v>265</v>
      </c>
      <c r="E62" s="16" t="s">
        <v>525</v>
      </c>
      <c r="F62" s="16" t="s">
        <v>28</v>
      </c>
      <c r="G62" s="16" t="s">
        <v>101</v>
      </c>
      <c r="H62" t="s">
        <v>526</v>
      </c>
      <c r="I62" s="16"/>
      <c r="J62" s="17">
        <v>45717</v>
      </c>
      <c r="K62" s="17">
        <v>45755</v>
      </c>
      <c r="L62" s="16" t="s">
        <v>51</v>
      </c>
      <c r="M62" s="16"/>
      <c r="N62" s="32" t="s">
        <v>527</v>
      </c>
      <c r="O62" s="18" t="s">
        <v>80</v>
      </c>
      <c r="P62" s="19">
        <v>40225</v>
      </c>
      <c r="Q62" s="16" t="str">
        <f t="shared" ca="1" si="1"/>
        <v>15 years 3 months</v>
      </c>
      <c r="R62" s="16" t="s">
        <v>266</v>
      </c>
      <c r="S62" s="16" t="s">
        <v>528</v>
      </c>
      <c r="T62" s="16" t="s">
        <v>529</v>
      </c>
      <c r="U62" s="16"/>
      <c r="V62" s="15" t="s">
        <v>530</v>
      </c>
      <c r="W62" s="15" t="s">
        <v>531</v>
      </c>
      <c r="X62" s="20"/>
      <c r="Y62" s="1" t="s">
        <v>532</v>
      </c>
    </row>
    <row r="63" spans="1:25" ht="16.5">
      <c r="A63" s="16" t="s">
        <v>533</v>
      </c>
      <c r="B63" s="16" t="s">
        <v>534</v>
      </c>
      <c r="C63" s="15" t="s">
        <v>535</v>
      </c>
      <c r="D63" s="16" t="s">
        <v>36</v>
      </c>
      <c r="E63" s="16" t="s">
        <v>276</v>
      </c>
      <c r="F63" s="16" t="s">
        <v>236</v>
      </c>
      <c r="G63" s="16" t="s">
        <v>38</v>
      </c>
      <c r="H63" s="16" t="s">
        <v>536</v>
      </c>
      <c r="I63" s="16" t="s">
        <v>537</v>
      </c>
      <c r="J63" s="17">
        <v>45096</v>
      </c>
      <c r="K63" s="17"/>
      <c r="L63" s="16" t="s">
        <v>51</v>
      </c>
      <c r="M63" s="16"/>
      <c r="N63" s="18" t="s">
        <v>40</v>
      </c>
      <c r="O63" s="18" t="s">
        <v>53</v>
      </c>
      <c r="P63" s="15" t="s">
        <v>535</v>
      </c>
      <c r="Q63" s="16" t="str">
        <f t="shared" ca="1" si="1"/>
        <v>1 years 11 months</v>
      </c>
      <c r="R63" s="16" t="s">
        <v>44</v>
      </c>
      <c r="S63" s="16" t="s">
        <v>391</v>
      </c>
      <c r="T63" s="16"/>
      <c r="U63" s="16"/>
      <c r="V63" s="15" t="s">
        <v>44</v>
      </c>
      <c r="W63" s="15" t="s">
        <v>44</v>
      </c>
      <c r="X63" s="20"/>
      <c r="Y63" s="1" t="s">
        <v>39</v>
      </c>
    </row>
    <row r="64" spans="1:25" ht="16.5">
      <c r="A64" s="16" t="s">
        <v>538</v>
      </c>
      <c r="B64" s="16" t="s">
        <v>539</v>
      </c>
      <c r="C64" s="15" t="s">
        <v>540</v>
      </c>
      <c r="D64" s="16" t="s">
        <v>98</v>
      </c>
      <c r="E64" s="16" t="s">
        <v>189</v>
      </c>
      <c r="F64" s="16" t="s">
        <v>214</v>
      </c>
      <c r="G64" s="16" t="s">
        <v>215</v>
      </c>
      <c r="H64" s="16"/>
      <c r="I64" s="16" t="s">
        <v>541</v>
      </c>
      <c r="J64" s="17">
        <v>45625</v>
      </c>
      <c r="K64" s="17"/>
      <c r="L64" s="16" t="s">
        <v>51</v>
      </c>
      <c r="M64" s="16"/>
      <c r="N64" s="18" t="s">
        <v>215</v>
      </c>
      <c r="O64" s="18" t="s">
        <v>53</v>
      </c>
      <c r="P64" s="19">
        <v>44177</v>
      </c>
      <c r="Q64" s="16" t="str">
        <f t="shared" ca="1" si="1"/>
        <v>4 years 5 months</v>
      </c>
      <c r="R64" s="16" t="s">
        <v>542</v>
      </c>
      <c r="S64" s="16" t="s">
        <v>543</v>
      </c>
      <c r="T64" s="16" t="s">
        <v>544</v>
      </c>
      <c r="U64" s="16" t="s">
        <v>57</v>
      </c>
      <c r="V64" s="15" t="s">
        <v>311</v>
      </c>
      <c r="W64" s="15" t="s">
        <v>59</v>
      </c>
      <c r="X64" s="24">
        <v>1</v>
      </c>
      <c r="Y64" s="1"/>
    </row>
    <row r="65" spans="1:25" ht="16.5">
      <c r="A65" s="16" t="s">
        <v>545</v>
      </c>
      <c r="B65" s="16" t="s">
        <v>546</v>
      </c>
      <c r="C65" s="15" t="s">
        <v>547</v>
      </c>
      <c r="D65" s="16" t="s">
        <v>76</v>
      </c>
      <c r="E65" s="16" t="s">
        <v>77</v>
      </c>
      <c r="F65" s="16" t="s">
        <v>28</v>
      </c>
      <c r="G65" s="16" t="s">
        <v>38</v>
      </c>
      <c r="H65" s="16"/>
      <c r="I65" s="16"/>
      <c r="J65" s="17"/>
      <c r="K65" s="17"/>
      <c r="L65" s="16" t="s">
        <v>51</v>
      </c>
      <c r="M65" s="16"/>
      <c r="N65" s="18" t="s">
        <v>128</v>
      </c>
      <c r="O65" s="18" t="s">
        <v>53</v>
      </c>
      <c r="P65" s="19">
        <v>43132</v>
      </c>
      <c r="Q65" s="16" t="s">
        <v>161</v>
      </c>
      <c r="R65" s="16" t="s">
        <v>548</v>
      </c>
      <c r="S65" s="16" t="s">
        <v>161</v>
      </c>
      <c r="T65" s="16" t="s">
        <v>549</v>
      </c>
      <c r="U65" s="16" t="s">
        <v>550</v>
      </c>
      <c r="V65" s="15" t="s">
        <v>83</v>
      </c>
      <c r="W65" s="15" t="s">
        <v>84</v>
      </c>
      <c r="X65" s="20"/>
      <c r="Y65" s="1" t="s">
        <v>78</v>
      </c>
    </row>
    <row r="66" spans="1:25" ht="16.5">
      <c r="A66" s="16" t="s">
        <v>551</v>
      </c>
      <c r="B66" s="16" t="s">
        <v>552</v>
      </c>
      <c r="C66" s="15" t="s">
        <v>553</v>
      </c>
      <c r="D66" s="16" t="s">
        <v>76</v>
      </c>
      <c r="E66" s="16" t="s">
        <v>284</v>
      </c>
      <c r="F66" s="16" t="s">
        <v>28</v>
      </c>
      <c r="G66" s="16" t="s">
        <v>50</v>
      </c>
      <c r="H66" s="16"/>
      <c r="I66" s="16" t="s">
        <v>554</v>
      </c>
      <c r="J66" s="17">
        <v>45603</v>
      </c>
      <c r="K66" s="17">
        <v>45635</v>
      </c>
      <c r="L66" s="16" t="s">
        <v>51</v>
      </c>
      <c r="M66" s="16"/>
      <c r="N66" s="18" t="s">
        <v>277</v>
      </c>
      <c r="O66" s="18" t="s">
        <v>53</v>
      </c>
      <c r="P66" s="19">
        <v>45117</v>
      </c>
      <c r="Q66" s="16" t="str">
        <f t="shared" ref="Q66:Q129" ca="1" si="2">DATEDIF(P66, TODAY(), "Y") &amp; " years " &amp; DATEDIF(P66, TODAY(), "YM") &amp; " months"</f>
        <v>1 years 10 months</v>
      </c>
      <c r="R66" s="16" t="s">
        <v>555</v>
      </c>
      <c r="S66" s="16" t="s">
        <v>556</v>
      </c>
      <c r="T66" s="16" t="s">
        <v>557</v>
      </c>
      <c r="U66" s="16"/>
      <c r="V66" s="15" t="s">
        <v>311</v>
      </c>
      <c r="W66" s="15" t="s">
        <v>59</v>
      </c>
      <c r="X66" s="24">
        <v>1</v>
      </c>
      <c r="Y66" s="1" t="s">
        <v>78</v>
      </c>
    </row>
    <row r="67" spans="1:25" ht="16.5">
      <c r="A67" s="16" t="s">
        <v>558</v>
      </c>
      <c r="B67" s="16" t="s">
        <v>559</v>
      </c>
      <c r="C67" s="15" t="s">
        <v>553</v>
      </c>
      <c r="D67" s="16" t="s">
        <v>88</v>
      </c>
      <c r="E67" s="16" t="s">
        <v>449</v>
      </c>
      <c r="F67" s="16" t="s">
        <v>28</v>
      </c>
      <c r="G67" s="16" t="s">
        <v>38</v>
      </c>
      <c r="H67" s="16" t="s">
        <v>560</v>
      </c>
      <c r="I67" s="16"/>
      <c r="J67" s="17">
        <v>45117</v>
      </c>
      <c r="K67" s="17">
        <v>45355</v>
      </c>
      <c r="L67" s="16" t="s">
        <v>51</v>
      </c>
      <c r="M67" s="16"/>
      <c r="N67" s="18" t="s">
        <v>91</v>
      </c>
      <c r="O67" s="18" t="s">
        <v>53</v>
      </c>
      <c r="P67" s="19">
        <v>45117</v>
      </c>
      <c r="Q67" s="16" t="str">
        <f t="shared" ca="1" si="2"/>
        <v>1 years 10 months</v>
      </c>
      <c r="R67" s="16" t="s">
        <v>561</v>
      </c>
      <c r="S67" s="16" t="s">
        <v>391</v>
      </c>
      <c r="T67" s="16" t="s">
        <v>562</v>
      </c>
      <c r="U67" s="16" t="s">
        <v>281</v>
      </c>
      <c r="V67" s="15" t="s">
        <v>120</v>
      </c>
      <c r="W67" s="15" t="s">
        <v>121</v>
      </c>
      <c r="X67" s="20"/>
      <c r="Y67" s="1" t="s">
        <v>39</v>
      </c>
    </row>
    <row r="68" spans="1:25" ht="16.5">
      <c r="A68" s="16" t="s">
        <v>563</v>
      </c>
      <c r="B68" s="16" t="s">
        <v>564</v>
      </c>
      <c r="C68" s="15" t="s">
        <v>553</v>
      </c>
      <c r="D68" s="16" t="s">
        <v>98</v>
      </c>
      <c r="E68" s="16" t="s">
        <v>284</v>
      </c>
      <c r="F68" s="16" t="s">
        <v>214</v>
      </c>
      <c r="G68" s="16" t="s">
        <v>215</v>
      </c>
      <c r="H68" s="16"/>
      <c r="I68" s="16" t="s">
        <v>565</v>
      </c>
      <c r="J68" s="17">
        <v>45705</v>
      </c>
      <c r="K68" s="17"/>
      <c r="L68" s="16" t="s">
        <v>51</v>
      </c>
      <c r="M68" s="16"/>
      <c r="N68" s="18" t="s">
        <v>215</v>
      </c>
      <c r="O68" s="18" t="s">
        <v>53</v>
      </c>
      <c r="P68" s="19">
        <v>45117</v>
      </c>
      <c r="Q68" s="16" t="str">
        <f t="shared" ca="1" si="2"/>
        <v>1 years 10 months</v>
      </c>
      <c r="R68" s="16" t="s">
        <v>566</v>
      </c>
      <c r="S68" s="16" t="s">
        <v>391</v>
      </c>
      <c r="T68" s="16" t="s">
        <v>405</v>
      </c>
      <c r="U68" s="16" t="s">
        <v>413</v>
      </c>
      <c r="V68" s="15" t="s">
        <v>311</v>
      </c>
      <c r="W68" s="15" t="s">
        <v>59</v>
      </c>
      <c r="X68" s="24">
        <v>1</v>
      </c>
      <c r="Y68" s="1"/>
    </row>
    <row r="69" spans="1:25" ht="16.5">
      <c r="A69" s="16" t="s">
        <v>567</v>
      </c>
      <c r="B69" s="16" t="s">
        <v>568</v>
      </c>
      <c r="C69" s="15" t="s">
        <v>553</v>
      </c>
      <c r="D69" s="16" t="s">
        <v>76</v>
      </c>
      <c r="E69" s="16" t="s">
        <v>284</v>
      </c>
      <c r="F69" s="16" t="s">
        <v>214</v>
      </c>
      <c r="G69" s="16" t="s">
        <v>215</v>
      </c>
      <c r="H69" s="16"/>
      <c r="I69" s="16" t="s">
        <v>569</v>
      </c>
      <c r="J69" s="17">
        <v>45694</v>
      </c>
      <c r="K69" s="17"/>
      <c r="L69" s="16" t="s">
        <v>51</v>
      </c>
      <c r="M69" s="16"/>
      <c r="N69" s="18" t="s">
        <v>141</v>
      </c>
      <c r="O69" s="18" t="s">
        <v>80</v>
      </c>
      <c r="P69" s="19">
        <v>45206</v>
      </c>
      <c r="Q69" s="16" t="str">
        <f t="shared" ca="1" si="2"/>
        <v>1 years 7 months</v>
      </c>
      <c r="R69" s="16" t="s">
        <v>570</v>
      </c>
      <c r="S69" s="16" t="s">
        <v>556</v>
      </c>
      <c r="T69" s="16" t="s">
        <v>571</v>
      </c>
      <c r="U69" s="16"/>
      <c r="V69" s="15" t="s">
        <v>108</v>
      </c>
      <c r="W69" s="15" t="s">
        <v>109</v>
      </c>
      <c r="X69" s="20"/>
      <c r="Y69" s="1"/>
    </row>
    <row r="70" spans="1:25" ht="16.5">
      <c r="A70" s="16" t="s">
        <v>572</v>
      </c>
      <c r="B70" s="16" t="s">
        <v>573</v>
      </c>
      <c r="C70" s="15" t="s">
        <v>553</v>
      </c>
      <c r="D70" s="16" t="s">
        <v>76</v>
      </c>
      <c r="E70" s="16" t="s">
        <v>284</v>
      </c>
      <c r="F70" s="16" t="s">
        <v>401</v>
      </c>
      <c r="G70" s="16" t="s">
        <v>50</v>
      </c>
      <c r="H70" s="16" t="s">
        <v>574</v>
      </c>
      <c r="I70" s="16" t="s">
        <v>575</v>
      </c>
      <c r="J70" s="17">
        <v>45545</v>
      </c>
      <c r="K70" s="17"/>
      <c r="L70" s="16" t="s">
        <v>51</v>
      </c>
      <c r="M70" s="16"/>
      <c r="N70" s="16" t="s">
        <v>520</v>
      </c>
      <c r="O70" s="18" t="s">
        <v>53</v>
      </c>
      <c r="P70" s="19">
        <v>45117</v>
      </c>
      <c r="Q70" s="16" t="str">
        <f t="shared" ca="1" si="2"/>
        <v>1 years 10 months</v>
      </c>
      <c r="R70" s="16" t="s">
        <v>576</v>
      </c>
      <c r="S70" s="16" t="s">
        <v>556</v>
      </c>
      <c r="T70" s="16" t="s">
        <v>577</v>
      </c>
      <c r="U70" s="16"/>
      <c r="V70" s="15" t="s">
        <v>195</v>
      </c>
      <c r="W70" s="15" t="s">
        <v>59</v>
      </c>
      <c r="X70" s="24">
        <v>1</v>
      </c>
      <c r="Y70" s="1" t="s">
        <v>78</v>
      </c>
    </row>
    <row r="71" spans="1:25" ht="16.5">
      <c r="A71" s="16" t="s">
        <v>578</v>
      </c>
      <c r="B71" s="16" t="s">
        <v>579</v>
      </c>
      <c r="C71" s="15" t="s">
        <v>553</v>
      </c>
      <c r="D71" s="16" t="s">
        <v>98</v>
      </c>
      <c r="E71" s="16" t="s">
        <v>284</v>
      </c>
      <c r="F71" s="16" t="s">
        <v>28</v>
      </c>
      <c r="G71" s="16" t="s">
        <v>425</v>
      </c>
      <c r="H71" s="16" t="s">
        <v>580</v>
      </c>
      <c r="I71" s="16" t="s">
        <v>581</v>
      </c>
      <c r="J71" s="17">
        <v>45545</v>
      </c>
      <c r="K71" s="17"/>
      <c r="L71" s="16" t="s">
        <v>51</v>
      </c>
      <c r="M71" s="16"/>
      <c r="N71" s="16" t="s">
        <v>425</v>
      </c>
      <c r="O71" s="18" t="s">
        <v>53</v>
      </c>
      <c r="P71" s="19">
        <v>45117</v>
      </c>
      <c r="Q71" s="16" t="str">
        <f t="shared" ca="1" si="2"/>
        <v>1 years 10 months</v>
      </c>
      <c r="R71" s="16" t="s">
        <v>582</v>
      </c>
      <c r="S71" s="16" t="s">
        <v>556</v>
      </c>
      <c r="T71" s="16" t="s">
        <v>583</v>
      </c>
      <c r="U71" s="16"/>
      <c r="V71" s="15" t="s">
        <v>195</v>
      </c>
      <c r="W71" s="15" t="s">
        <v>59</v>
      </c>
      <c r="X71" s="36">
        <v>1</v>
      </c>
      <c r="Y71" s="1"/>
    </row>
    <row r="72" spans="1:25" ht="16.5">
      <c r="A72" s="16" t="s">
        <v>584</v>
      </c>
      <c r="B72" s="16" t="s">
        <v>585</v>
      </c>
      <c r="C72" s="15" t="s">
        <v>553</v>
      </c>
      <c r="D72" s="14" t="s">
        <v>88</v>
      </c>
      <c r="E72" s="16" t="s">
        <v>284</v>
      </c>
      <c r="F72" s="16" t="s">
        <v>214</v>
      </c>
      <c r="G72" s="16" t="s">
        <v>215</v>
      </c>
      <c r="H72" s="34" t="s">
        <v>586</v>
      </c>
      <c r="I72" s="16"/>
      <c r="J72" s="17">
        <v>45757</v>
      </c>
      <c r="K72" s="39"/>
      <c r="L72" s="16" t="s">
        <v>51</v>
      </c>
      <c r="M72" s="16"/>
      <c r="N72" s="16" t="s">
        <v>425</v>
      </c>
      <c r="O72" s="18" t="s">
        <v>80</v>
      </c>
      <c r="P72" s="19">
        <v>45206</v>
      </c>
      <c r="Q72" s="16" t="str">
        <f t="shared" ca="1" si="2"/>
        <v>1 years 7 months</v>
      </c>
      <c r="R72" s="16" t="s">
        <v>587</v>
      </c>
      <c r="S72" s="16" t="s">
        <v>556</v>
      </c>
      <c r="T72" s="16" t="s">
        <v>588</v>
      </c>
      <c r="U72" s="16"/>
      <c r="V72" s="15" t="s">
        <v>95</v>
      </c>
      <c r="W72" s="15" t="s">
        <v>96</v>
      </c>
      <c r="X72" s="36">
        <v>1</v>
      </c>
      <c r="Y72" s="1"/>
    </row>
    <row r="73" spans="1:25" ht="16.5">
      <c r="A73" s="16" t="s">
        <v>589</v>
      </c>
      <c r="B73" s="16" t="s">
        <v>590</v>
      </c>
      <c r="C73" s="15" t="s">
        <v>553</v>
      </c>
      <c r="D73" s="16" t="s">
        <v>76</v>
      </c>
      <c r="E73" s="16" t="s">
        <v>77</v>
      </c>
      <c r="F73" s="16" t="s">
        <v>214</v>
      </c>
      <c r="G73" s="16" t="s">
        <v>215</v>
      </c>
      <c r="H73" s="16" t="s">
        <v>591</v>
      </c>
      <c r="I73" s="16"/>
      <c r="J73" s="17">
        <v>45740</v>
      </c>
      <c r="K73" s="17"/>
      <c r="L73" s="16" t="s">
        <v>51</v>
      </c>
      <c r="M73" s="16"/>
      <c r="N73" s="32" t="s">
        <v>527</v>
      </c>
      <c r="O73" s="18" t="s">
        <v>53</v>
      </c>
      <c r="P73" s="19">
        <v>42289</v>
      </c>
      <c r="Q73" s="16" t="str">
        <f t="shared" ca="1" si="2"/>
        <v>9 years 7 months</v>
      </c>
      <c r="R73" s="16" t="s">
        <v>481</v>
      </c>
      <c r="S73" s="16" t="s">
        <v>514</v>
      </c>
      <c r="T73" s="16" t="s">
        <v>592</v>
      </c>
      <c r="U73" s="16" t="s">
        <v>514</v>
      </c>
      <c r="V73" s="15" t="s">
        <v>593</v>
      </c>
      <c r="W73" s="15" t="s">
        <v>84</v>
      </c>
      <c r="X73" s="20"/>
      <c r="Y73" s="1" t="s">
        <v>78</v>
      </c>
    </row>
    <row r="74" spans="1:25" ht="16.5">
      <c r="A74" s="16" t="s">
        <v>594</v>
      </c>
      <c r="B74" s="16" t="s">
        <v>595</v>
      </c>
      <c r="C74" s="15" t="s">
        <v>596</v>
      </c>
      <c r="D74" s="16" t="s">
        <v>88</v>
      </c>
      <c r="E74" s="16" t="s">
        <v>597</v>
      </c>
      <c r="F74" s="16" t="s">
        <v>28</v>
      </c>
      <c r="G74" s="16" t="s">
        <v>598</v>
      </c>
      <c r="H74" s="16"/>
      <c r="I74" s="16" t="s">
        <v>599</v>
      </c>
      <c r="J74" s="17"/>
      <c r="K74" s="17"/>
      <c r="L74" s="16" t="s">
        <v>51</v>
      </c>
      <c r="M74" s="16"/>
      <c r="N74" s="18" t="s">
        <v>598</v>
      </c>
      <c r="O74" s="18" t="s">
        <v>80</v>
      </c>
      <c r="P74" s="19">
        <v>42681</v>
      </c>
      <c r="Q74" s="16" t="str">
        <f t="shared" ca="1" si="2"/>
        <v>8 years 6 months</v>
      </c>
      <c r="R74" s="16" t="s">
        <v>600</v>
      </c>
      <c r="S74" s="16" t="s">
        <v>601</v>
      </c>
      <c r="T74" s="16" t="s">
        <v>602</v>
      </c>
      <c r="U74" s="16"/>
      <c r="V74" s="15" t="s">
        <v>184</v>
      </c>
      <c r="W74" s="15" t="s">
        <v>185</v>
      </c>
      <c r="X74" s="20"/>
      <c r="Y74" s="1"/>
    </row>
    <row r="75" spans="1:25" ht="16.5">
      <c r="A75" s="16" t="s">
        <v>603</v>
      </c>
      <c r="B75" s="16" t="s">
        <v>604</v>
      </c>
      <c r="C75" s="15" t="s">
        <v>605</v>
      </c>
      <c r="D75" s="16" t="s">
        <v>100</v>
      </c>
      <c r="E75" s="16" t="s">
        <v>49</v>
      </c>
      <c r="F75" s="16" t="s">
        <v>214</v>
      </c>
      <c r="G75" s="16" t="s">
        <v>215</v>
      </c>
      <c r="H75" s="34" t="s">
        <v>606</v>
      </c>
      <c r="I75" s="16"/>
      <c r="J75" s="17">
        <v>45748</v>
      </c>
      <c r="K75" s="17"/>
      <c r="L75" s="16" t="s">
        <v>51</v>
      </c>
      <c r="M75" s="16"/>
      <c r="N75" s="18" t="s">
        <v>141</v>
      </c>
      <c r="O75" s="18" t="s">
        <v>53</v>
      </c>
      <c r="P75" s="19">
        <v>43234</v>
      </c>
      <c r="Q75" s="16" t="str">
        <f t="shared" ca="1" si="2"/>
        <v>7 years 0 months</v>
      </c>
      <c r="R75" s="16" t="s">
        <v>607</v>
      </c>
      <c r="S75" s="16" t="s">
        <v>608</v>
      </c>
      <c r="T75" s="16" t="s">
        <v>609</v>
      </c>
      <c r="U75" s="16"/>
      <c r="V75" s="15" t="s">
        <v>195</v>
      </c>
      <c r="W75" s="15" t="s">
        <v>59</v>
      </c>
      <c r="X75" s="20"/>
      <c r="Y75" s="1"/>
    </row>
    <row r="76" spans="1:25" ht="16.5">
      <c r="A76" s="16" t="s">
        <v>610</v>
      </c>
      <c r="B76" s="21" t="s">
        <v>611</v>
      </c>
      <c r="C76" s="15" t="s">
        <v>612</v>
      </c>
      <c r="D76" s="16" t="s">
        <v>63</v>
      </c>
      <c r="E76" s="16" t="s">
        <v>64</v>
      </c>
      <c r="F76" s="16" t="s">
        <v>28</v>
      </c>
      <c r="G76" s="16" t="s">
        <v>65</v>
      </c>
      <c r="H76" s="16" t="s">
        <v>613</v>
      </c>
      <c r="I76" s="16"/>
      <c r="J76" s="17">
        <v>45748</v>
      </c>
      <c r="K76" s="17">
        <v>45772</v>
      </c>
      <c r="L76" s="16" t="s">
        <v>51</v>
      </c>
      <c r="M76" s="16"/>
      <c r="N76" s="18" t="s">
        <v>409</v>
      </c>
      <c r="O76" s="18" t="s">
        <v>53</v>
      </c>
      <c r="P76" s="19">
        <v>42986</v>
      </c>
      <c r="Q76" s="16" t="str">
        <f t="shared" ca="1" si="2"/>
        <v>7 years 8 months</v>
      </c>
      <c r="R76" s="16" t="s">
        <v>614</v>
      </c>
      <c r="S76" s="16" t="s">
        <v>130</v>
      </c>
      <c r="T76" s="16" t="s">
        <v>615</v>
      </c>
      <c r="U76" s="16"/>
      <c r="V76" s="15" t="s">
        <v>72</v>
      </c>
      <c r="W76" s="15" t="s">
        <v>72</v>
      </c>
      <c r="X76" s="20"/>
      <c r="Y76" s="1"/>
    </row>
    <row r="77" spans="1:25" ht="16.5">
      <c r="A77" s="16" t="s">
        <v>616</v>
      </c>
      <c r="B77" s="16" t="s">
        <v>617</v>
      </c>
      <c r="C77" s="15" t="s">
        <v>618</v>
      </c>
      <c r="D77" s="16" t="s">
        <v>76</v>
      </c>
      <c r="E77" s="16" t="s">
        <v>49</v>
      </c>
      <c r="F77" s="16" t="s">
        <v>28</v>
      </c>
      <c r="G77" s="16" t="s">
        <v>38</v>
      </c>
      <c r="H77" s="16" t="s">
        <v>619</v>
      </c>
      <c r="I77" s="16"/>
      <c r="J77" s="17"/>
      <c r="K77" s="17"/>
      <c r="L77" s="16" t="s">
        <v>51</v>
      </c>
      <c r="M77" s="16"/>
      <c r="N77" s="18" t="s">
        <v>157</v>
      </c>
      <c r="O77" s="18" t="s">
        <v>53</v>
      </c>
      <c r="P77" s="19">
        <v>41062</v>
      </c>
      <c r="Q77" s="16" t="str">
        <f t="shared" ca="1" si="2"/>
        <v>12 years 11 months</v>
      </c>
      <c r="R77" s="16" t="s">
        <v>620</v>
      </c>
      <c r="S77" s="16" t="s">
        <v>346</v>
      </c>
      <c r="T77" s="16" t="s">
        <v>621</v>
      </c>
      <c r="U77" s="16" t="s">
        <v>622</v>
      </c>
      <c r="V77" s="15" t="s">
        <v>83</v>
      </c>
      <c r="W77" s="15" t="s">
        <v>84</v>
      </c>
      <c r="X77" s="20"/>
      <c r="Y77" s="1" t="s">
        <v>78</v>
      </c>
    </row>
    <row r="78" spans="1:25" ht="16.5">
      <c r="A78" s="16" t="s">
        <v>623</v>
      </c>
      <c r="B78" s="16" t="s">
        <v>624</v>
      </c>
      <c r="C78" s="15" t="s">
        <v>618</v>
      </c>
      <c r="D78" s="16" t="s">
        <v>137</v>
      </c>
      <c r="E78" s="16" t="s">
        <v>330</v>
      </c>
      <c r="F78" s="16" t="s">
        <v>28</v>
      </c>
      <c r="G78" s="16" t="s">
        <v>65</v>
      </c>
      <c r="H78" s="34" t="s">
        <v>625</v>
      </c>
      <c r="I78" s="16" t="s">
        <v>626</v>
      </c>
      <c r="J78" s="17"/>
      <c r="K78" s="17"/>
      <c r="L78" s="16" t="s">
        <v>51</v>
      </c>
      <c r="M78" s="16"/>
      <c r="N78" s="18" t="s">
        <v>65</v>
      </c>
      <c r="O78" s="18" t="s">
        <v>80</v>
      </c>
      <c r="P78" s="19">
        <v>42736</v>
      </c>
      <c r="Q78" s="16" t="str">
        <f t="shared" ca="1" si="2"/>
        <v>8 years 4 months</v>
      </c>
      <c r="R78" s="16" t="s">
        <v>627</v>
      </c>
      <c r="S78" s="16" t="s">
        <v>258</v>
      </c>
      <c r="T78" s="40" t="s">
        <v>628</v>
      </c>
      <c r="U78" s="16" t="s">
        <v>629</v>
      </c>
      <c r="V78" s="15" t="s">
        <v>72</v>
      </c>
      <c r="W78" s="15" t="s">
        <v>72</v>
      </c>
      <c r="X78" s="20"/>
      <c r="Y78" s="1"/>
    </row>
    <row r="79" spans="1:25" ht="16.5">
      <c r="A79" s="16" t="s">
        <v>630</v>
      </c>
      <c r="B79" s="16" t="s">
        <v>631</v>
      </c>
      <c r="C79" s="15" t="s">
        <v>632</v>
      </c>
      <c r="D79" s="16" t="s">
        <v>100</v>
      </c>
      <c r="E79" s="16" t="s">
        <v>77</v>
      </c>
      <c r="F79" s="16" t="s">
        <v>214</v>
      </c>
      <c r="G79" s="16" t="s">
        <v>215</v>
      </c>
      <c r="H79" s="16"/>
      <c r="I79" s="16" t="s">
        <v>633</v>
      </c>
      <c r="J79" s="17">
        <v>45748</v>
      </c>
      <c r="K79" s="17"/>
      <c r="L79" s="16" t="s">
        <v>51</v>
      </c>
      <c r="M79" s="16"/>
      <c r="N79" s="18" t="s">
        <v>141</v>
      </c>
      <c r="O79" s="18" t="s">
        <v>80</v>
      </c>
      <c r="P79" s="19">
        <v>43313</v>
      </c>
      <c r="Q79" s="16" t="str">
        <f t="shared" ca="1" si="2"/>
        <v>6 years 9 months</v>
      </c>
      <c r="R79" s="16" t="s">
        <v>634</v>
      </c>
      <c r="S79" s="16" t="s">
        <v>143</v>
      </c>
      <c r="T79" s="16" t="s">
        <v>635</v>
      </c>
      <c r="U79" s="16" t="s">
        <v>281</v>
      </c>
      <c r="V79" s="15" t="s">
        <v>311</v>
      </c>
      <c r="W79" s="15" t="s">
        <v>59</v>
      </c>
      <c r="X79" s="20"/>
      <c r="Y79" s="1"/>
    </row>
    <row r="80" spans="1:25" ht="16.5">
      <c r="A80" s="16" t="s">
        <v>636</v>
      </c>
      <c r="B80" s="16" t="s">
        <v>637</v>
      </c>
      <c r="C80" s="15" t="s">
        <v>638</v>
      </c>
      <c r="D80" s="16" t="s">
        <v>100</v>
      </c>
      <c r="E80" s="16" t="s">
        <v>199</v>
      </c>
      <c r="F80" s="16" t="s">
        <v>214</v>
      </c>
      <c r="G80" s="16" t="s">
        <v>215</v>
      </c>
      <c r="H80" s="34" t="s">
        <v>639</v>
      </c>
      <c r="I80" s="16"/>
      <c r="J80" s="17"/>
      <c r="K80" s="17"/>
      <c r="L80" s="16" t="s">
        <v>51</v>
      </c>
      <c r="M80" s="16"/>
      <c r="N80" s="18"/>
      <c r="O80" s="18" t="s">
        <v>53</v>
      </c>
      <c r="P80" s="19">
        <v>43733</v>
      </c>
      <c r="Q80" s="16" t="str">
        <f t="shared" ca="1" si="2"/>
        <v>5 years 8 months</v>
      </c>
      <c r="R80" s="16" t="s">
        <v>640</v>
      </c>
      <c r="S80" s="16"/>
      <c r="T80" s="16" t="s">
        <v>641</v>
      </c>
      <c r="U80" s="16"/>
      <c r="V80" s="15" t="s">
        <v>195</v>
      </c>
      <c r="W80" s="15" t="s">
        <v>59</v>
      </c>
      <c r="X80" s="20"/>
      <c r="Y80" s="1"/>
    </row>
    <row r="81" spans="1:25" ht="16.5">
      <c r="A81" s="16" t="s">
        <v>642</v>
      </c>
      <c r="B81" s="16" t="s">
        <v>643</v>
      </c>
      <c r="C81" s="15" t="s">
        <v>644</v>
      </c>
      <c r="D81" s="16" t="s">
        <v>100</v>
      </c>
      <c r="E81" s="16" t="s">
        <v>235</v>
      </c>
      <c r="F81" s="16" t="s">
        <v>401</v>
      </c>
      <c r="G81" s="16" t="s">
        <v>645</v>
      </c>
      <c r="H81" s="16" t="s">
        <v>646</v>
      </c>
      <c r="I81" s="16"/>
      <c r="J81" s="17">
        <v>45566</v>
      </c>
      <c r="K81" s="17">
        <v>45615</v>
      </c>
      <c r="L81" s="16" t="s">
        <v>51</v>
      </c>
      <c r="M81" s="16"/>
      <c r="N81" s="16" t="s">
        <v>647</v>
      </c>
      <c r="O81" s="18" t="s">
        <v>53</v>
      </c>
      <c r="P81" s="19">
        <v>42887</v>
      </c>
      <c r="Q81" s="16" t="str">
        <f t="shared" ca="1" si="2"/>
        <v>7 years 11 months</v>
      </c>
      <c r="R81" s="16" t="s">
        <v>648</v>
      </c>
      <c r="S81" s="16" t="s">
        <v>168</v>
      </c>
      <c r="T81" s="16" t="s">
        <v>649</v>
      </c>
      <c r="U81" s="16"/>
      <c r="V81" s="15" t="s">
        <v>195</v>
      </c>
      <c r="W81" s="15" t="s">
        <v>59</v>
      </c>
      <c r="X81" s="36">
        <v>1</v>
      </c>
      <c r="Y81" s="1"/>
    </row>
    <row r="82" spans="1:25" ht="16.5">
      <c r="A82" s="16" t="s">
        <v>650</v>
      </c>
      <c r="B82" s="21" t="s">
        <v>651</v>
      </c>
      <c r="C82" s="15" t="s">
        <v>652</v>
      </c>
      <c r="D82" s="16" t="s">
        <v>76</v>
      </c>
      <c r="E82" s="16" t="s">
        <v>77</v>
      </c>
      <c r="F82" s="16" t="s">
        <v>28</v>
      </c>
      <c r="G82" s="16" t="s">
        <v>65</v>
      </c>
      <c r="H82" s="16"/>
      <c r="I82" s="16"/>
      <c r="J82" s="17"/>
      <c r="K82" s="17"/>
      <c r="L82" s="16" t="s">
        <v>51</v>
      </c>
      <c r="M82" s="16"/>
      <c r="N82" s="18" t="s">
        <v>65</v>
      </c>
      <c r="O82" s="18" t="s">
        <v>53</v>
      </c>
      <c r="P82" s="19">
        <v>42870</v>
      </c>
      <c r="Q82" s="16" t="str">
        <f t="shared" ca="1" si="2"/>
        <v>8 years 0 months</v>
      </c>
      <c r="R82" s="16" t="s">
        <v>653</v>
      </c>
      <c r="S82" s="16" t="s">
        <v>295</v>
      </c>
      <c r="T82" s="16" t="s">
        <v>654</v>
      </c>
      <c r="U82" s="16"/>
      <c r="V82" s="15" t="s">
        <v>311</v>
      </c>
      <c r="W82" s="15" t="s">
        <v>59</v>
      </c>
      <c r="X82" s="20"/>
      <c r="Y82" s="1" t="s">
        <v>78</v>
      </c>
    </row>
    <row r="83" spans="1:25" ht="16.5">
      <c r="A83" s="16" t="s">
        <v>655</v>
      </c>
      <c r="B83" s="16" t="s">
        <v>656</v>
      </c>
      <c r="C83" s="15" t="s">
        <v>657</v>
      </c>
      <c r="D83" s="16" t="s">
        <v>125</v>
      </c>
      <c r="E83" s="16" t="s">
        <v>64</v>
      </c>
      <c r="F83" s="16" t="s">
        <v>214</v>
      </c>
      <c r="G83" s="16" t="s">
        <v>215</v>
      </c>
      <c r="H83" s="16" t="s">
        <v>658</v>
      </c>
      <c r="I83" s="16"/>
      <c r="J83" s="17">
        <v>45688</v>
      </c>
      <c r="K83" s="17"/>
      <c r="L83" s="16" t="s">
        <v>51</v>
      </c>
      <c r="M83" s="16"/>
      <c r="N83" s="18"/>
      <c r="O83" s="18" t="s">
        <v>53</v>
      </c>
      <c r="P83" s="19">
        <v>42583</v>
      </c>
      <c r="Q83" s="16" t="str">
        <f t="shared" ca="1" si="2"/>
        <v>8 years 9 months</v>
      </c>
      <c r="R83" s="16" t="s">
        <v>659</v>
      </c>
      <c r="S83" s="16"/>
      <c r="T83" s="16" t="s">
        <v>660</v>
      </c>
      <c r="U83" s="16"/>
      <c r="V83" s="15" t="s">
        <v>72</v>
      </c>
      <c r="W83" s="15" t="s">
        <v>72</v>
      </c>
      <c r="X83" s="20"/>
      <c r="Y83" s="1"/>
    </row>
    <row r="84" spans="1:25" ht="16.5">
      <c r="A84" s="16" t="s">
        <v>661</v>
      </c>
      <c r="B84" s="16" t="s">
        <v>662</v>
      </c>
      <c r="C84" s="15" t="s">
        <v>663</v>
      </c>
      <c r="D84" s="16" t="s">
        <v>76</v>
      </c>
      <c r="E84" s="16" t="s">
        <v>77</v>
      </c>
      <c r="F84" s="16" t="s">
        <v>28</v>
      </c>
      <c r="G84" s="16" t="s">
        <v>425</v>
      </c>
      <c r="H84" s="16" t="s">
        <v>426</v>
      </c>
      <c r="I84" s="16"/>
      <c r="J84" s="17">
        <v>45658</v>
      </c>
      <c r="K84" s="17">
        <v>45679</v>
      </c>
      <c r="L84" s="16" t="s">
        <v>51</v>
      </c>
      <c r="M84" s="16"/>
      <c r="N84" s="16" t="s">
        <v>425</v>
      </c>
      <c r="O84" s="18" t="s">
        <v>53</v>
      </c>
      <c r="P84" s="19">
        <v>43657</v>
      </c>
      <c r="Q84" s="16" t="str">
        <f t="shared" ca="1" si="2"/>
        <v>5 years 10 months</v>
      </c>
      <c r="R84" s="16" t="s">
        <v>664</v>
      </c>
      <c r="S84" s="16" t="s">
        <v>665</v>
      </c>
      <c r="T84" s="16" t="s">
        <v>666</v>
      </c>
      <c r="U84" s="16"/>
      <c r="V84" s="15" t="s">
        <v>203</v>
      </c>
      <c r="W84" s="15" t="s">
        <v>109</v>
      </c>
      <c r="X84" s="36">
        <v>0.5</v>
      </c>
      <c r="Y84" s="1"/>
    </row>
    <row r="85" spans="1:25" ht="16.5">
      <c r="A85" s="16" t="s">
        <v>667</v>
      </c>
      <c r="B85" s="16" t="s">
        <v>668</v>
      </c>
      <c r="C85" s="15" t="s">
        <v>669</v>
      </c>
      <c r="D85" s="16" t="s">
        <v>76</v>
      </c>
      <c r="E85" s="16" t="s">
        <v>221</v>
      </c>
      <c r="F85" s="16" t="s">
        <v>28</v>
      </c>
      <c r="G85" s="16" t="s">
        <v>38</v>
      </c>
      <c r="H85" s="16"/>
      <c r="I85" s="16" t="s">
        <v>223</v>
      </c>
      <c r="J85" s="17">
        <v>45293</v>
      </c>
      <c r="K85" s="17">
        <v>45302</v>
      </c>
      <c r="L85" s="16" t="s">
        <v>51</v>
      </c>
      <c r="M85" s="16"/>
      <c r="N85" s="18" t="s">
        <v>361</v>
      </c>
      <c r="O85" s="18" t="s">
        <v>53</v>
      </c>
      <c r="P85" s="19">
        <v>44789</v>
      </c>
      <c r="Q85" s="16" t="str">
        <f t="shared" ca="1" si="2"/>
        <v>2 years 9 months</v>
      </c>
      <c r="R85" s="16" t="s">
        <v>362</v>
      </c>
      <c r="S85" s="16" t="s">
        <v>57</v>
      </c>
      <c r="T85" s="16" t="s">
        <v>670</v>
      </c>
      <c r="U85" s="16"/>
      <c r="V85" s="15" t="s">
        <v>671</v>
      </c>
      <c r="W85" s="15" t="s">
        <v>226</v>
      </c>
      <c r="X85" s="20"/>
      <c r="Y85" s="1" t="s">
        <v>365</v>
      </c>
    </row>
    <row r="86" spans="1:25" ht="16.5">
      <c r="A86" s="16" t="s">
        <v>672</v>
      </c>
      <c r="B86" s="16" t="s">
        <v>673</v>
      </c>
      <c r="C86" s="15" t="s">
        <v>674</v>
      </c>
      <c r="D86" s="16" t="s">
        <v>265</v>
      </c>
      <c r="E86" s="16" t="s">
        <v>266</v>
      </c>
      <c r="F86" s="16" t="s">
        <v>214</v>
      </c>
      <c r="G86" s="16" t="s">
        <v>215</v>
      </c>
      <c r="H86" s="16" t="s">
        <v>675</v>
      </c>
      <c r="I86" s="16"/>
      <c r="J86" s="17">
        <v>45658</v>
      </c>
      <c r="K86" s="17"/>
      <c r="L86" s="16" t="s">
        <v>51</v>
      </c>
      <c r="M86" s="16"/>
      <c r="N86" s="18" t="s">
        <v>65</v>
      </c>
      <c r="O86" s="18" t="s">
        <v>80</v>
      </c>
      <c r="P86" s="19">
        <v>42600</v>
      </c>
      <c r="Q86" s="16" t="str">
        <f t="shared" ca="1" si="2"/>
        <v>8 years 9 months</v>
      </c>
      <c r="R86" s="16" t="s">
        <v>266</v>
      </c>
      <c r="S86" s="16" t="s">
        <v>676</v>
      </c>
      <c r="T86" s="16" t="s">
        <v>677</v>
      </c>
      <c r="U86" s="16"/>
      <c r="V86" s="15" t="s">
        <v>530</v>
      </c>
      <c r="W86" s="15" t="s">
        <v>531</v>
      </c>
      <c r="X86" s="20"/>
      <c r="Y86" s="1"/>
    </row>
    <row r="87" spans="1:25" ht="16.5">
      <c r="A87" s="16" t="s">
        <v>678</v>
      </c>
      <c r="B87" s="16" t="s">
        <v>679</v>
      </c>
      <c r="C87" s="15" t="s">
        <v>680</v>
      </c>
      <c r="D87" s="16" t="s">
        <v>100</v>
      </c>
      <c r="E87" s="16" t="s">
        <v>284</v>
      </c>
      <c r="F87" s="16" t="s">
        <v>214</v>
      </c>
      <c r="G87" s="16" t="s">
        <v>215</v>
      </c>
      <c r="H87" s="16" t="s">
        <v>480</v>
      </c>
      <c r="I87" s="16" t="s">
        <v>681</v>
      </c>
      <c r="J87" s="17">
        <v>45359</v>
      </c>
      <c r="K87" s="17"/>
      <c r="L87" s="16" t="s">
        <v>51</v>
      </c>
      <c r="M87" s="16"/>
      <c r="N87" s="18"/>
      <c r="O87" s="18" t="s">
        <v>53</v>
      </c>
      <c r="P87" s="41" t="s">
        <v>680</v>
      </c>
      <c r="Q87" s="16" t="str">
        <f t="shared" ca="1" si="2"/>
        <v>1 years 4 months</v>
      </c>
      <c r="R87" s="16" t="s">
        <v>682</v>
      </c>
      <c r="S87" s="16" t="s">
        <v>683</v>
      </c>
      <c r="T87" s="16" t="s">
        <v>684</v>
      </c>
      <c r="U87" s="16"/>
      <c r="V87" s="15" t="s">
        <v>311</v>
      </c>
      <c r="W87" s="15" t="s">
        <v>59</v>
      </c>
      <c r="X87" s="20"/>
      <c r="Y87" s="1"/>
    </row>
    <row r="88" spans="1:25" ht="16.5">
      <c r="A88" s="16" t="s">
        <v>685</v>
      </c>
      <c r="B88" s="16" t="s">
        <v>686</v>
      </c>
      <c r="C88" s="15" t="s">
        <v>680</v>
      </c>
      <c r="D88" s="16" t="s">
        <v>206</v>
      </c>
      <c r="E88" s="16" t="s">
        <v>687</v>
      </c>
      <c r="F88" s="16" t="s">
        <v>236</v>
      </c>
      <c r="G88" s="16" t="s">
        <v>38</v>
      </c>
      <c r="H88" s="16" t="s">
        <v>688</v>
      </c>
      <c r="I88" s="16" t="s">
        <v>689</v>
      </c>
      <c r="J88" s="17">
        <v>45359</v>
      </c>
      <c r="K88" s="17"/>
      <c r="L88" s="16" t="s">
        <v>51</v>
      </c>
      <c r="M88" s="16"/>
      <c r="N88" s="18" t="s">
        <v>690</v>
      </c>
      <c r="O88" s="18" t="s">
        <v>53</v>
      </c>
      <c r="P88" s="41" t="s">
        <v>680</v>
      </c>
      <c r="Q88" s="16" t="str">
        <f t="shared" ca="1" si="2"/>
        <v>1 years 4 months</v>
      </c>
      <c r="R88" s="16" t="s">
        <v>691</v>
      </c>
      <c r="S88" s="16" t="s">
        <v>683</v>
      </c>
      <c r="T88" s="16" t="s">
        <v>692</v>
      </c>
      <c r="U88" s="16"/>
      <c r="V88" s="15" t="s">
        <v>72</v>
      </c>
      <c r="W88" s="15" t="s">
        <v>72</v>
      </c>
      <c r="X88" s="20"/>
      <c r="Y88" s="1" t="s">
        <v>693</v>
      </c>
    </row>
    <row r="89" spans="1:25" ht="16.5">
      <c r="A89" s="16" t="s">
        <v>694</v>
      </c>
      <c r="B89" s="16" t="s">
        <v>695</v>
      </c>
      <c r="C89" s="15" t="s">
        <v>680</v>
      </c>
      <c r="D89" s="16" t="s">
        <v>76</v>
      </c>
      <c r="E89" s="16" t="s">
        <v>696</v>
      </c>
      <c r="F89" s="16" t="s">
        <v>697</v>
      </c>
      <c r="G89" s="14" t="s">
        <v>215</v>
      </c>
      <c r="H89" s="16" t="s">
        <v>698</v>
      </c>
      <c r="I89" s="16" t="s">
        <v>699</v>
      </c>
      <c r="J89" s="17">
        <v>45544</v>
      </c>
      <c r="K89" s="17"/>
      <c r="L89" s="16" t="s">
        <v>51</v>
      </c>
      <c r="M89" s="16"/>
      <c r="N89" s="18"/>
      <c r="O89" s="18" t="s">
        <v>53</v>
      </c>
      <c r="P89" s="41" t="s">
        <v>680</v>
      </c>
      <c r="Q89" s="16" t="str">
        <f t="shared" ca="1" si="2"/>
        <v>1 years 4 months</v>
      </c>
      <c r="R89" s="16" t="s">
        <v>700</v>
      </c>
      <c r="S89" s="16" t="s">
        <v>683</v>
      </c>
      <c r="T89" s="16" t="s">
        <v>701</v>
      </c>
      <c r="U89" s="16"/>
      <c r="V89" s="15" t="s">
        <v>702</v>
      </c>
      <c r="W89" s="15" t="s">
        <v>109</v>
      </c>
      <c r="X89" s="20"/>
      <c r="Y89" s="1"/>
    </row>
    <row r="90" spans="1:25" ht="16.5">
      <c r="A90" s="16" t="s">
        <v>703</v>
      </c>
      <c r="B90" s="16" t="s">
        <v>704</v>
      </c>
      <c r="C90" s="15" t="s">
        <v>680</v>
      </c>
      <c r="D90" s="16" t="s">
        <v>36</v>
      </c>
      <c r="E90" s="16" t="s">
        <v>696</v>
      </c>
      <c r="F90" s="16" t="s">
        <v>697</v>
      </c>
      <c r="G90" s="16" t="s">
        <v>215</v>
      </c>
      <c r="H90" s="16" t="s">
        <v>705</v>
      </c>
      <c r="I90" s="16" t="s">
        <v>706</v>
      </c>
      <c r="J90" s="17">
        <v>45705</v>
      </c>
      <c r="K90" s="17"/>
      <c r="L90" s="16" t="s">
        <v>51</v>
      </c>
      <c r="M90" s="16"/>
      <c r="N90" s="16" t="s">
        <v>269</v>
      </c>
      <c r="O90" s="18" t="s">
        <v>53</v>
      </c>
      <c r="P90" s="41" t="s">
        <v>680</v>
      </c>
      <c r="Q90" s="16" t="str">
        <f t="shared" ca="1" si="2"/>
        <v>1 years 4 months</v>
      </c>
      <c r="R90" s="16" t="s">
        <v>707</v>
      </c>
      <c r="S90" s="16" t="s">
        <v>683</v>
      </c>
      <c r="T90" s="16" t="s">
        <v>708</v>
      </c>
      <c r="U90" s="16"/>
      <c r="V90" s="15" t="s">
        <v>195</v>
      </c>
      <c r="W90" s="15" t="s">
        <v>59</v>
      </c>
      <c r="X90" s="36">
        <v>0.5</v>
      </c>
      <c r="Y90" s="1"/>
    </row>
    <row r="91" spans="1:25" ht="16.5">
      <c r="A91" s="16" t="s">
        <v>709</v>
      </c>
      <c r="B91" s="16" t="s">
        <v>710</v>
      </c>
      <c r="C91" s="15" t="s">
        <v>680</v>
      </c>
      <c r="D91" s="16" t="s">
        <v>76</v>
      </c>
      <c r="E91" s="16" t="s">
        <v>284</v>
      </c>
      <c r="F91" s="16" t="s">
        <v>236</v>
      </c>
      <c r="G91" s="16" t="s">
        <v>65</v>
      </c>
      <c r="H91" s="16"/>
      <c r="I91" s="16" t="s">
        <v>711</v>
      </c>
      <c r="J91" s="17">
        <v>45481</v>
      </c>
      <c r="K91" s="17">
        <v>45667</v>
      </c>
      <c r="L91" s="16" t="s">
        <v>51</v>
      </c>
      <c r="M91" s="16"/>
      <c r="N91" s="18" t="s">
        <v>65</v>
      </c>
      <c r="O91" s="18" t="s">
        <v>53</v>
      </c>
      <c r="P91" s="41" t="s">
        <v>680</v>
      </c>
      <c r="Q91" s="16" t="str">
        <f t="shared" ca="1" si="2"/>
        <v>1 years 4 months</v>
      </c>
      <c r="R91" s="16" t="s">
        <v>712</v>
      </c>
      <c r="S91" s="16" t="s">
        <v>683</v>
      </c>
      <c r="T91" s="16" t="s">
        <v>713</v>
      </c>
      <c r="U91" s="16"/>
      <c r="V91" s="15" t="s">
        <v>311</v>
      </c>
      <c r="W91" s="15" t="s">
        <v>59</v>
      </c>
      <c r="X91" s="20"/>
      <c r="Y91" s="1"/>
    </row>
    <row r="92" spans="1:25" ht="16.5">
      <c r="A92" s="16" t="s">
        <v>714</v>
      </c>
      <c r="B92" s="34" t="s">
        <v>715</v>
      </c>
      <c r="C92" s="15" t="s">
        <v>680</v>
      </c>
      <c r="D92" s="16" t="s">
        <v>63</v>
      </c>
      <c r="E92" s="16" t="s">
        <v>716</v>
      </c>
      <c r="F92" s="16" t="s">
        <v>236</v>
      </c>
      <c r="G92" s="16" t="s">
        <v>38</v>
      </c>
      <c r="H92" s="34" t="s">
        <v>717</v>
      </c>
      <c r="I92" s="16" t="s">
        <v>718</v>
      </c>
      <c r="J92" s="17">
        <v>45359</v>
      </c>
      <c r="K92" s="17"/>
      <c r="L92" s="16" t="s">
        <v>51</v>
      </c>
      <c r="M92" s="16"/>
      <c r="N92" s="18" t="s">
        <v>256</v>
      </c>
      <c r="O92" s="18" t="s">
        <v>53</v>
      </c>
      <c r="P92" s="41" t="s">
        <v>680</v>
      </c>
      <c r="Q92" s="16" t="str">
        <f t="shared" ca="1" si="2"/>
        <v>1 years 4 months</v>
      </c>
      <c r="R92" s="16" t="s">
        <v>719</v>
      </c>
      <c r="S92" s="16" t="s">
        <v>683</v>
      </c>
      <c r="T92" s="16" t="s">
        <v>720</v>
      </c>
      <c r="U92" s="16"/>
      <c r="V92" s="15" t="s">
        <v>72</v>
      </c>
      <c r="W92" s="15" t="s">
        <v>72</v>
      </c>
      <c r="X92" s="20"/>
      <c r="Y92" s="1" t="s">
        <v>261</v>
      </c>
    </row>
    <row r="93" spans="1:25" ht="16.5">
      <c r="A93" s="16" t="s">
        <v>721</v>
      </c>
      <c r="B93" s="16" t="s">
        <v>722</v>
      </c>
      <c r="C93" s="15" t="s">
        <v>680</v>
      </c>
      <c r="D93" s="16" t="s">
        <v>100</v>
      </c>
      <c r="E93" s="16" t="s">
        <v>284</v>
      </c>
      <c r="F93" s="16" t="s">
        <v>214</v>
      </c>
      <c r="G93" s="16" t="s">
        <v>215</v>
      </c>
      <c r="H93" s="16" t="s">
        <v>723</v>
      </c>
      <c r="I93" s="16" t="s">
        <v>724</v>
      </c>
      <c r="J93" s="17">
        <v>45733</v>
      </c>
      <c r="K93" s="17"/>
      <c r="L93" s="16" t="s">
        <v>51</v>
      </c>
      <c r="M93" s="16"/>
      <c r="N93" s="16" t="s">
        <v>474</v>
      </c>
      <c r="O93" s="18" t="s">
        <v>53</v>
      </c>
      <c r="P93" s="41" t="s">
        <v>680</v>
      </c>
      <c r="Q93" s="16" t="str">
        <f t="shared" ca="1" si="2"/>
        <v>1 years 4 months</v>
      </c>
      <c r="R93" s="16" t="s">
        <v>725</v>
      </c>
      <c r="S93" s="16" t="s">
        <v>683</v>
      </c>
      <c r="T93" s="16" t="s">
        <v>726</v>
      </c>
      <c r="U93" s="16"/>
      <c r="V93" s="15" t="s">
        <v>311</v>
      </c>
      <c r="W93" s="15" t="s">
        <v>59</v>
      </c>
      <c r="X93" s="20"/>
      <c r="Y93" s="1"/>
    </row>
    <row r="94" spans="1:25" ht="16.5">
      <c r="A94" s="16" t="s">
        <v>727</v>
      </c>
      <c r="B94" s="16" t="s">
        <v>728</v>
      </c>
      <c r="C94" s="15" t="s">
        <v>680</v>
      </c>
      <c r="D94" s="16" t="s">
        <v>76</v>
      </c>
      <c r="E94" s="16" t="s">
        <v>696</v>
      </c>
      <c r="F94" s="16" t="s">
        <v>236</v>
      </c>
      <c r="G94" s="16" t="s">
        <v>65</v>
      </c>
      <c r="H94" s="16"/>
      <c r="I94" s="16" t="s">
        <v>729</v>
      </c>
      <c r="J94" s="17">
        <v>45544</v>
      </c>
      <c r="K94" s="17">
        <v>45667</v>
      </c>
      <c r="L94" s="16" t="s">
        <v>51</v>
      </c>
      <c r="M94" s="16"/>
      <c r="N94" s="18" t="s">
        <v>65</v>
      </c>
      <c r="O94" s="18" t="s">
        <v>53</v>
      </c>
      <c r="P94" s="41" t="s">
        <v>680</v>
      </c>
      <c r="Q94" s="16" t="str">
        <f t="shared" ca="1" si="2"/>
        <v>1 years 4 months</v>
      </c>
      <c r="R94" s="16" t="s">
        <v>730</v>
      </c>
      <c r="S94" s="16" t="s">
        <v>683</v>
      </c>
      <c r="T94" s="16" t="s">
        <v>439</v>
      </c>
      <c r="U94" s="16"/>
      <c r="V94" s="15" t="s">
        <v>311</v>
      </c>
      <c r="W94" s="15" t="s">
        <v>59</v>
      </c>
      <c r="X94" s="20"/>
      <c r="Y94" s="1"/>
    </row>
    <row r="95" spans="1:25" ht="16.5">
      <c r="A95" s="16" t="s">
        <v>731</v>
      </c>
      <c r="B95" s="16" t="s">
        <v>732</v>
      </c>
      <c r="C95" s="15" t="s">
        <v>680</v>
      </c>
      <c r="D95" s="16" t="s">
        <v>100</v>
      </c>
      <c r="E95" s="16" t="s">
        <v>284</v>
      </c>
      <c r="F95" s="16" t="s">
        <v>28</v>
      </c>
      <c r="G95" s="16" t="s">
        <v>269</v>
      </c>
      <c r="H95" s="16" t="s">
        <v>733</v>
      </c>
      <c r="I95" s="16" t="s">
        <v>734</v>
      </c>
      <c r="J95" s="17">
        <v>45553</v>
      </c>
      <c r="K95" s="17">
        <v>45615</v>
      </c>
      <c r="L95" s="16" t="s">
        <v>51</v>
      </c>
      <c r="M95" s="16"/>
      <c r="N95" s="16" t="s">
        <v>269</v>
      </c>
      <c r="O95" s="18" t="s">
        <v>53</v>
      </c>
      <c r="P95" s="41" t="s">
        <v>680</v>
      </c>
      <c r="Q95" s="16" t="str">
        <f t="shared" ca="1" si="2"/>
        <v>1 years 4 months</v>
      </c>
      <c r="R95" s="16" t="s">
        <v>735</v>
      </c>
      <c r="S95" s="16" t="s">
        <v>683</v>
      </c>
      <c r="T95" s="16" t="s">
        <v>736</v>
      </c>
      <c r="U95" s="16" t="s">
        <v>737</v>
      </c>
      <c r="V95" s="15" t="s">
        <v>195</v>
      </c>
      <c r="W95" s="15" t="s">
        <v>59</v>
      </c>
      <c r="X95" s="36">
        <v>0.5</v>
      </c>
      <c r="Y95" s="1"/>
    </row>
    <row r="96" spans="1:25" ht="16.5">
      <c r="A96" s="42" t="s">
        <v>738</v>
      </c>
      <c r="B96" s="42" t="s">
        <v>739</v>
      </c>
      <c r="C96" s="15" t="s">
        <v>740</v>
      </c>
      <c r="D96" s="16" t="s">
        <v>76</v>
      </c>
      <c r="E96" s="42" t="s">
        <v>235</v>
      </c>
      <c r="F96" s="16" t="s">
        <v>214</v>
      </c>
      <c r="G96" s="16" t="s">
        <v>215</v>
      </c>
      <c r="H96" s="16" t="s">
        <v>646</v>
      </c>
      <c r="I96" s="16"/>
      <c r="J96" s="17">
        <v>45565</v>
      </c>
      <c r="K96" s="17"/>
      <c r="L96" s="16" t="s">
        <v>51</v>
      </c>
      <c r="M96" s="16"/>
      <c r="N96" s="18"/>
      <c r="O96" s="18" t="s">
        <v>53</v>
      </c>
      <c r="P96" s="19">
        <v>43290</v>
      </c>
      <c r="Q96" s="16" t="str">
        <f t="shared" ca="1" si="2"/>
        <v>6 years 10 months</v>
      </c>
      <c r="R96" s="16" t="s">
        <v>741</v>
      </c>
      <c r="S96" s="16" t="s">
        <v>742</v>
      </c>
      <c r="T96" s="16" t="s">
        <v>743</v>
      </c>
      <c r="U96" s="16" t="s">
        <v>744</v>
      </c>
      <c r="V96" s="15" t="s">
        <v>745</v>
      </c>
      <c r="W96" s="15" t="s">
        <v>109</v>
      </c>
      <c r="X96" s="20"/>
      <c r="Y96" s="1"/>
    </row>
    <row r="97" spans="1:25" ht="16.5">
      <c r="A97" s="42" t="s">
        <v>746</v>
      </c>
      <c r="B97" s="42" t="s">
        <v>747</v>
      </c>
      <c r="C97" s="15" t="s">
        <v>748</v>
      </c>
      <c r="D97" s="16" t="s">
        <v>100</v>
      </c>
      <c r="E97" s="42" t="s">
        <v>199</v>
      </c>
      <c r="F97" s="16" t="s">
        <v>28</v>
      </c>
      <c r="G97" s="16" t="s">
        <v>138</v>
      </c>
      <c r="H97" s="34" t="s">
        <v>208</v>
      </c>
      <c r="I97" s="16"/>
      <c r="J97" s="17"/>
      <c r="K97" s="17"/>
      <c r="L97" s="16" t="s">
        <v>51</v>
      </c>
      <c r="M97" s="16"/>
      <c r="N97" s="18" t="s">
        <v>141</v>
      </c>
      <c r="O97" s="18" t="s">
        <v>53</v>
      </c>
      <c r="P97" s="19">
        <v>43871</v>
      </c>
      <c r="Q97" s="16" t="str">
        <f t="shared" ca="1" si="2"/>
        <v>5 years 3 months</v>
      </c>
      <c r="R97" s="16" t="s">
        <v>749</v>
      </c>
      <c r="S97" s="16" t="s">
        <v>153</v>
      </c>
      <c r="T97" s="16" t="s">
        <v>750</v>
      </c>
      <c r="U97" s="16" t="s">
        <v>57</v>
      </c>
      <c r="V97" s="15" t="s">
        <v>745</v>
      </c>
      <c r="W97" s="15" t="s">
        <v>109</v>
      </c>
      <c r="X97" s="20"/>
      <c r="Y97" s="1"/>
    </row>
    <row r="98" spans="1:25" ht="16.5">
      <c r="A98" s="16" t="s">
        <v>751</v>
      </c>
      <c r="B98" s="16" t="s">
        <v>752</v>
      </c>
      <c r="C98" s="15" t="s">
        <v>753</v>
      </c>
      <c r="D98" s="16" t="s">
        <v>76</v>
      </c>
      <c r="E98" s="16" t="s">
        <v>696</v>
      </c>
      <c r="F98" s="16" t="s">
        <v>697</v>
      </c>
      <c r="G98" s="16" t="s">
        <v>215</v>
      </c>
      <c r="H98" s="16" t="s">
        <v>754</v>
      </c>
      <c r="I98" s="16" t="s">
        <v>755</v>
      </c>
      <c r="J98" s="17">
        <v>45516</v>
      </c>
      <c r="K98" s="17"/>
      <c r="L98" s="16" t="s">
        <v>51</v>
      </c>
      <c r="M98" s="16"/>
      <c r="N98" s="18"/>
      <c r="O98" s="18" t="s">
        <v>53</v>
      </c>
      <c r="P98" s="19" t="str">
        <f t="shared" ref="P98:P108" si="3">C98</f>
        <v>12 Feb 2024</v>
      </c>
      <c r="Q98" s="16" t="str">
        <f t="shared" ca="1" si="2"/>
        <v>1 years 3 months</v>
      </c>
      <c r="R98" s="16" t="s">
        <v>756</v>
      </c>
      <c r="S98" s="16" t="s">
        <v>757</v>
      </c>
      <c r="T98" s="16"/>
      <c r="U98" s="16"/>
      <c r="V98" s="15" t="s">
        <v>758</v>
      </c>
      <c r="W98" s="15" t="s">
        <v>109</v>
      </c>
      <c r="X98" s="20"/>
      <c r="Y98" s="1"/>
    </row>
    <row r="99" spans="1:25" ht="16.5">
      <c r="A99" s="16" t="s">
        <v>759</v>
      </c>
      <c r="B99" s="16" t="s">
        <v>760</v>
      </c>
      <c r="C99" s="15" t="s">
        <v>753</v>
      </c>
      <c r="D99" s="16" t="s">
        <v>76</v>
      </c>
      <c r="E99" s="16" t="s">
        <v>696</v>
      </c>
      <c r="F99" s="16" t="s">
        <v>214</v>
      </c>
      <c r="G99" s="16" t="s">
        <v>215</v>
      </c>
      <c r="H99" s="34" t="s">
        <v>586</v>
      </c>
      <c r="I99" s="16" t="s">
        <v>761</v>
      </c>
      <c r="J99" s="17">
        <v>45757</v>
      </c>
      <c r="K99" s="17"/>
      <c r="L99" s="16" t="s">
        <v>51</v>
      </c>
      <c r="M99" s="16"/>
      <c r="N99" s="18"/>
      <c r="O99" s="18" t="s">
        <v>53</v>
      </c>
      <c r="P99" s="19" t="str">
        <f t="shared" si="3"/>
        <v>12 Feb 2024</v>
      </c>
      <c r="Q99" s="16" t="str">
        <f t="shared" ca="1" si="2"/>
        <v>1 years 3 months</v>
      </c>
      <c r="R99" s="16" t="s">
        <v>762</v>
      </c>
      <c r="S99" s="16" t="s">
        <v>757</v>
      </c>
      <c r="T99" s="16"/>
      <c r="U99" s="16"/>
      <c r="V99" s="15" t="s">
        <v>108</v>
      </c>
      <c r="W99" s="15" t="s">
        <v>109</v>
      </c>
      <c r="X99" s="20"/>
      <c r="Y99" s="1"/>
    </row>
    <row r="100" spans="1:25" ht="16.5">
      <c r="A100" s="16" t="s">
        <v>763</v>
      </c>
      <c r="B100" s="16" t="s">
        <v>764</v>
      </c>
      <c r="C100" s="15" t="s">
        <v>753</v>
      </c>
      <c r="D100" s="16" t="s">
        <v>88</v>
      </c>
      <c r="E100" s="16" t="s">
        <v>696</v>
      </c>
      <c r="F100" s="16" t="s">
        <v>236</v>
      </c>
      <c r="G100" s="16" t="s">
        <v>65</v>
      </c>
      <c r="H100" s="16"/>
      <c r="I100" s="16" t="s">
        <v>765</v>
      </c>
      <c r="J100" s="17">
        <v>45516</v>
      </c>
      <c r="K100" s="17">
        <v>45566</v>
      </c>
      <c r="L100" s="16" t="s">
        <v>51</v>
      </c>
      <c r="M100" s="16"/>
      <c r="N100" s="16" t="s">
        <v>65</v>
      </c>
      <c r="O100" s="18" t="s">
        <v>53</v>
      </c>
      <c r="P100" s="19" t="str">
        <f t="shared" si="3"/>
        <v>12 Feb 2024</v>
      </c>
      <c r="Q100" s="16" t="str">
        <f t="shared" ca="1" si="2"/>
        <v>1 years 3 months</v>
      </c>
      <c r="R100" s="16" t="s">
        <v>766</v>
      </c>
      <c r="S100" s="16" t="s">
        <v>757</v>
      </c>
      <c r="T100" s="16"/>
      <c r="U100" s="16"/>
      <c r="V100" s="15" t="s">
        <v>758</v>
      </c>
      <c r="W100" s="15" t="s">
        <v>59</v>
      </c>
      <c r="X100" s="20"/>
      <c r="Y100" s="1"/>
    </row>
    <row r="101" spans="1:25" ht="16.5">
      <c r="A101" s="16" t="s">
        <v>767</v>
      </c>
      <c r="B101" s="16" t="s">
        <v>768</v>
      </c>
      <c r="C101" s="15" t="s">
        <v>753</v>
      </c>
      <c r="D101" s="16" t="s">
        <v>88</v>
      </c>
      <c r="E101" s="16" t="s">
        <v>696</v>
      </c>
      <c r="F101" s="16" t="s">
        <v>697</v>
      </c>
      <c r="G101" s="16" t="s">
        <v>425</v>
      </c>
      <c r="H101" s="16" t="s">
        <v>426</v>
      </c>
      <c r="I101" s="16" t="s">
        <v>769</v>
      </c>
      <c r="J101" s="17">
        <v>45705</v>
      </c>
      <c r="K101" s="17"/>
      <c r="L101" s="16" t="s">
        <v>51</v>
      </c>
      <c r="M101" s="16"/>
      <c r="N101" s="16" t="s">
        <v>425</v>
      </c>
      <c r="O101" s="18" t="s">
        <v>53</v>
      </c>
      <c r="P101" s="19" t="str">
        <f t="shared" si="3"/>
        <v>12 Feb 2024</v>
      </c>
      <c r="Q101" s="16" t="str">
        <f t="shared" ca="1" si="2"/>
        <v>1 years 3 months</v>
      </c>
      <c r="R101" s="16" t="s">
        <v>770</v>
      </c>
      <c r="S101" s="16" t="s">
        <v>757</v>
      </c>
      <c r="T101" s="16"/>
      <c r="U101" s="16"/>
      <c r="V101" s="15" t="s">
        <v>771</v>
      </c>
      <c r="W101" s="15" t="s">
        <v>109</v>
      </c>
      <c r="X101" s="36">
        <v>1</v>
      </c>
      <c r="Y101" s="1"/>
    </row>
    <row r="102" spans="1:25" ht="16.5">
      <c r="A102" s="16" t="s">
        <v>772</v>
      </c>
      <c r="B102" s="16" t="s">
        <v>773</v>
      </c>
      <c r="C102" s="15" t="s">
        <v>753</v>
      </c>
      <c r="D102" s="16" t="s">
        <v>100</v>
      </c>
      <c r="E102" s="16" t="s">
        <v>696</v>
      </c>
      <c r="F102" s="16" t="s">
        <v>214</v>
      </c>
      <c r="G102" s="16" t="s">
        <v>215</v>
      </c>
      <c r="H102" s="16" t="s">
        <v>723</v>
      </c>
      <c r="I102" s="16" t="s">
        <v>774</v>
      </c>
      <c r="J102" s="17">
        <v>45733</v>
      </c>
      <c r="K102" s="17"/>
      <c r="L102" s="16" t="s">
        <v>51</v>
      </c>
      <c r="M102" s="16"/>
      <c r="N102" s="16" t="s">
        <v>775</v>
      </c>
      <c r="O102" s="18" t="s">
        <v>53</v>
      </c>
      <c r="P102" s="19" t="str">
        <f t="shared" si="3"/>
        <v>12 Feb 2024</v>
      </c>
      <c r="Q102" s="16" t="str">
        <f t="shared" ca="1" si="2"/>
        <v>1 years 3 months</v>
      </c>
      <c r="R102" s="43" t="s">
        <v>776</v>
      </c>
      <c r="S102" s="16" t="s">
        <v>757</v>
      </c>
      <c r="T102" s="16"/>
      <c r="U102" s="16"/>
      <c r="V102" s="15" t="s">
        <v>311</v>
      </c>
      <c r="W102" s="15" t="s">
        <v>59</v>
      </c>
      <c r="X102" s="20"/>
      <c r="Y102" s="1"/>
    </row>
    <row r="103" spans="1:25" ht="16.5">
      <c r="A103" s="16" t="s">
        <v>777</v>
      </c>
      <c r="B103" s="16" t="s">
        <v>778</v>
      </c>
      <c r="C103" s="15" t="s">
        <v>753</v>
      </c>
      <c r="D103" s="16" t="s">
        <v>76</v>
      </c>
      <c r="E103" s="16" t="s">
        <v>696</v>
      </c>
      <c r="F103" s="16" t="s">
        <v>214</v>
      </c>
      <c r="G103" s="16" t="s">
        <v>215</v>
      </c>
      <c r="H103" s="16"/>
      <c r="I103" s="16" t="s">
        <v>779</v>
      </c>
      <c r="J103" s="17">
        <v>45717</v>
      </c>
      <c r="K103" s="17"/>
      <c r="L103" s="16" t="s">
        <v>51</v>
      </c>
      <c r="M103" s="16"/>
      <c r="N103" s="16"/>
      <c r="O103" s="18" t="s">
        <v>53</v>
      </c>
      <c r="P103" s="19" t="str">
        <f t="shared" si="3"/>
        <v>12 Feb 2024</v>
      </c>
      <c r="Q103" s="16" t="str">
        <f t="shared" ca="1" si="2"/>
        <v>1 years 3 months</v>
      </c>
      <c r="R103" s="44" t="s">
        <v>780</v>
      </c>
      <c r="S103" s="16" t="s">
        <v>757</v>
      </c>
      <c r="T103" s="16"/>
      <c r="U103" s="16"/>
      <c r="V103" s="15" t="s">
        <v>311</v>
      </c>
      <c r="W103" s="15" t="s">
        <v>59</v>
      </c>
      <c r="X103" s="20">
        <v>1</v>
      </c>
      <c r="Y103" s="1"/>
    </row>
    <row r="104" spans="1:25" ht="16.5">
      <c r="A104" s="16" t="s">
        <v>781</v>
      </c>
      <c r="B104" s="16" t="s">
        <v>782</v>
      </c>
      <c r="C104" s="15" t="s">
        <v>753</v>
      </c>
      <c r="D104" s="16" t="s">
        <v>36</v>
      </c>
      <c r="E104" s="16" t="s">
        <v>696</v>
      </c>
      <c r="F104" s="16" t="s">
        <v>697</v>
      </c>
      <c r="G104" s="16" t="s">
        <v>215</v>
      </c>
      <c r="H104" s="16"/>
      <c r="I104" s="16" t="s">
        <v>783</v>
      </c>
      <c r="J104" s="17">
        <v>45706</v>
      </c>
      <c r="K104" s="17"/>
      <c r="L104" s="16" t="s">
        <v>51</v>
      </c>
      <c r="M104" s="16"/>
      <c r="N104" s="16" t="s">
        <v>269</v>
      </c>
      <c r="O104" s="18" t="s">
        <v>53</v>
      </c>
      <c r="P104" s="19" t="str">
        <f t="shared" si="3"/>
        <v>12 Feb 2024</v>
      </c>
      <c r="Q104" s="16" t="str">
        <f t="shared" ca="1" si="2"/>
        <v>1 years 3 months</v>
      </c>
      <c r="R104" s="16" t="s">
        <v>784</v>
      </c>
      <c r="S104" s="16" t="s">
        <v>757</v>
      </c>
      <c r="T104" s="16"/>
      <c r="U104" s="16"/>
      <c r="V104" s="15" t="s">
        <v>195</v>
      </c>
      <c r="W104" s="15" t="s">
        <v>59</v>
      </c>
      <c r="X104" s="36">
        <v>0.5</v>
      </c>
      <c r="Y104" s="1"/>
    </row>
    <row r="105" spans="1:25" ht="16.5">
      <c r="A105" s="16" t="s">
        <v>785</v>
      </c>
      <c r="B105" s="16" t="s">
        <v>786</v>
      </c>
      <c r="C105" s="15" t="s">
        <v>753</v>
      </c>
      <c r="D105" s="16" t="s">
        <v>100</v>
      </c>
      <c r="E105" s="16" t="s">
        <v>696</v>
      </c>
      <c r="F105" s="16" t="s">
        <v>697</v>
      </c>
      <c r="G105" s="16" t="s">
        <v>215</v>
      </c>
      <c r="H105" s="16" t="s">
        <v>787</v>
      </c>
      <c r="I105" s="16" t="s">
        <v>788</v>
      </c>
      <c r="J105" s="17">
        <v>45705</v>
      </c>
      <c r="K105" s="17"/>
      <c r="L105" s="16" t="s">
        <v>51</v>
      </c>
      <c r="M105" s="16"/>
      <c r="N105" s="16" t="s">
        <v>269</v>
      </c>
      <c r="O105" s="18" t="s">
        <v>53</v>
      </c>
      <c r="P105" s="19" t="str">
        <f t="shared" si="3"/>
        <v>12 Feb 2024</v>
      </c>
      <c r="Q105" s="16" t="str">
        <f t="shared" ca="1" si="2"/>
        <v>1 years 3 months</v>
      </c>
      <c r="R105" s="16" t="s">
        <v>789</v>
      </c>
      <c r="S105" s="16" t="s">
        <v>757</v>
      </c>
      <c r="T105" s="16"/>
      <c r="U105" s="16"/>
      <c r="V105" s="15" t="s">
        <v>758</v>
      </c>
      <c r="W105" s="15" t="s">
        <v>59</v>
      </c>
      <c r="X105" s="36">
        <v>0.5</v>
      </c>
      <c r="Y105" s="1"/>
    </row>
    <row r="106" spans="1:25" ht="105">
      <c r="A106" s="16" t="s">
        <v>790</v>
      </c>
      <c r="B106" s="16" t="s">
        <v>791</v>
      </c>
      <c r="C106" s="15" t="s">
        <v>753</v>
      </c>
      <c r="D106" s="16" t="s">
        <v>100</v>
      </c>
      <c r="E106" s="16" t="s">
        <v>696</v>
      </c>
      <c r="F106" s="16" t="s">
        <v>697</v>
      </c>
      <c r="G106" s="16" t="s">
        <v>215</v>
      </c>
      <c r="H106" s="16" t="s">
        <v>787</v>
      </c>
      <c r="I106" s="25" t="s">
        <v>792</v>
      </c>
      <c r="J106" s="17">
        <v>45705</v>
      </c>
      <c r="K106" s="17"/>
      <c r="L106" s="16" t="s">
        <v>51</v>
      </c>
      <c r="M106" s="16"/>
      <c r="N106" s="16" t="s">
        <v>269</v>
      </c>
      <c r="O106" s="18" t="s">
        <v>53</v>
      </c>
      <c r="P106" s="19" t="str">
        <f t="shared" si="3"/>
        <v>12 Feb 2024</v>
      </c>
      <c r="Q106" s="16" t="str">
        <f t="shared" ca="1" si="2"/>
        <v>1 years 3 months</v>
      </c>
      <c r="R106" s="45" t="s">
        <v>793</v>
      </c>
      <c r="S106" s="16" t="s">
        <v>757</v>
      </c>
      <c r="T106" s="16"/>
      <c r="U106" s="16"/>
      <c r="V106" s="15" t="s">
        <v>108</v>
      </c>
      <c r="W106" s="15" t="s">
        <v>109</v>
      </c>
      <c r="X106" s="36">
        <v>0.5</v>
      </c>
      <c r="Y106" s="1"/>
    </row>
    <row r="107" spans="1:25" ht="16.5">
      <c r="A107" s="16" t="s">
        <v>794</v>
      </c>
      <c r="B107" s="16" t="s">
        <v>795</v>
      </c>
      <c r="C107" s="15" t="s">
        <v>753</v>
      </c>
      <c r="D107" s="16" t="s">
        <v>100</v>
      </c>
      <c r="E107" s="16" t="s">
        <v>696</v>
      </c>
      <c r="F107" s="16" t="s">
        <v>28</v>
      </c>
      <c r="G107" s="16" t="s">
        <v>269</v>
      </c>
      <c r="H107" s="16" t="s">
        <v>733</v>
      </c>
      <c r="I107" s="16" t="s">
        <v>796</v>
      </c>
      <c r="J107" s="17">
        <v>45516</v>
      </c>
      <c r="K107" s="17">
        <v>45615</v>
      </c>
      <c r="L107" s="16" t="s">
        <v>51</v>
      </c>
      <c r="M107" s="16"/>
      <c r="N107" s="16" t="s">
        <v>269</v>
      </c>
      <c r="O107" s="18" t="s">
        <v>53</v>
      </c>
      <c r="P107" s="19" t="str">
        <f t="shared" si="3"/>
        <v>12 Feb 2024</v>
      </c>
      <c r="Q107" s="16" t="str">
        <f t="shared" ca="1" si="2"/>
        <v>1 years 3 months</v>
      </c>
      <c r="R107" s="16" t="s">
        <v>797</v>
      </c>
      <c r="S107" s="16" t="s">
        <v>757</v>
      </c>
      <c r="T107" s="16"/>
      <c r="U107" s="16"/>
      <c r="V107" s="15" t="s">
        <v>311</v>
      </c>
      <c r="W107" s="15" t="s">
        <v>59</v>
      </c>
      <c r="X107" s="36">
        <v>0.5</v>
      </c>
      <c r="Y107" s="1"/>
    </row>
    <row r="108" spans="1:25" ht="16.5">
      <c r="A108" s="16" t="s">
        <v>798</v>
      </c>
      <c r="B108" s="16" t="s">
        <v>799</v>
      </c>
      <c r="C108" s="15" t="s">
        <v>753</v>
      </c>
      <c r="D108" s="16" t="s">
        <v>88</v>
      </c>
      <c r="E108" s="16" t="s">
        <v>696</v>
      </c>
      <c r="F108" s="16" t="s">
        <v>28</v>
      </c>
      <c r="G108" s="16" t="s">
        <v>425</v>
      </c>
      <c r="H108" s="16" t="s">
        <v>580</v>
      </c>
      <c r="I108" s="16" t="s">
        <v>800</v>
      </c>
      <c r="J108" s="17">
        <v>45603</v>
      </c>
      <c r="K108" s="17">
        <v>45687</v>
      </c>
      <c r="L108" s="16" t="s">
        <v>51</v>
      </c>
      <c r="M108" s="16"/>
      <c r="N108" s="16" t="s">
        <v>425</v>
      </c>
      <c r="O108" s="18" t="s">
        <v>53</v>
      </c>
      <c r="P108" s="19" t="str">
        <f t="shared" si="3"/>
        <v>12 Feb 2024</v>
      </c>
      <c r="Q108" s="16" t="str">
        <f t="shared" ca="1" si="2"/>
        <v>1 years 3 months</v>
      </c>
      <c r="R108" s="16" t="s">
        <v>801</v>
      </c>
      <c r="S108" s="16" t="s">
        <v>757</v>
      </c>
      <c r="T108" s="16"/>
      <c r="U108" s="16"/>
      <c r="V108" s="15" t="s">
        <v>120</v>
      </c>
      <c r="W108" s="15" t="s">
        <v>121</v>
      </c>
      <c r="X108" s="36">
        <v>1</v>
      </c>
      <c r="Y108" s="1"/>
    </row>
    <row r="109" spans="1:25" ht="16.5">
      <c r="A109" s="16" t="s">
        <v>802</v>
      </c>
      <c r="B109" s="16" t="s">
        <v>803</v>
      </c>
      <c r="C109" s="15" t="s">
        <v>804</v>
      </c>
      <c r="D109" s="46" t="s">
        <v>265</v>
      </c>
      <c r="E109" s="16" t="s">
        <v>266</v>
      </c>
      <c r="F109" s="16" t="s">
        <v>28</v>
      </c>
      <c r="G109" s="16" t="s">
        <v>138</v>
      </c>
      <c r="H109" s="34" t="s">
        <v>805</v>
      </c>
      <c r="I109" s="16"/>
      <c r="J109" s="17"/>
      <c r="K109" s="17"/>
      <c r="L109" s="16" t="s">
        <v>51</v>
      </c>
      <c r="M109" s="16"/>
      <c r="N109" s="18" t="s">
        <v>141</v>
      </c>
      <c r="O109" s="18" t="s">
        <v>53</v>
      </c>
      <c r="P109" s="19">
        <v>43486</v>
      </c>
      <c r="Q109" s="16" t="str">
        <f t="shared" ca="1" si="2"/>
        <v>6 years 4 months</v>
      </c>
      <c r="R109" s="16" t="s">
        <v>806</v>
      </c>
      <c r="S109" s="16" t="s">
        <v>665</v>
      </c>
      <c r="T109" s="16" t="s">
        <v>807</v>
      </c>
      <c r="U109" s="16"/>
      <c r="V109" s="15" t="s">
        <v>530</v>
      </c>
      <c r="W109" s="15" t="s">
        <v>531</v>
      </c>
      <c r="X109" s="20"/>
      <c r="Y109" s="1"/>
    </row>
    <row r="110" spans="1:25" ht="16.5">
      <c r="A110" s="16" t="s">
        <v>808</v>
      </c>
      <c r="B110" s="21" t="s">
        <v>809</v>
      </c>
      <c r="C110" s="15" t="s">
        <v>810</v>
      </c>
      <c r="D110" s="16" t="s">
        <v>100</v>
      </c>
      <c r="E110" s="16" t="s">
        <v>77</v>
      </c>
      <c r="F110" s="16" t="s">
        <v>28</v>
      </c>
      <c r="G110" s="16" t="s">
        <v>65</v>
      </c>
      <c r="H110" s="16"/>
      <c r="I110" s="16"/>
      <c r="J110" s="17"/>
      <c r="K110" s="17"/>
      <c r="L110" s="16" t="s">
        <v>51</v>
      </c>
      <c r="M110" s="16"/>
      <c r="N110" s="18" t="s">
        <v>65</v>
      </c>
      <c r="O110" s="18" t="s">
        <v>53</v>
      </c>
      <c r="P110" s="19">
        <v>42720</v>
      </c>
      <c r="Q110" s="16" t="str">
        <f t="shared" ca="1" si="2"/>
        <v>8 years 5 months</v>
      </c>
      <c r="R110" s="16" t="s">
        <v>811</v>
      </c>
      <c r="S110" s="16" t="s">
        <v>812</v>
      </c>
      <c r="T110" s="16" t="s">
        <v>813</v>
      </c>
      <c r="U110" s="16"/>
      <c r="V110" s="15" t="s">
        <v>108</v>
      </c>
      <c r="W110" s="15" t="s">
        <v>109</v>
      </c>
      <c r="X110" s="20"/>
      <c r="Y110" s="1" t="s">
        <v>78</v>
      </c>
    </row>
    <row r="111" spans="1:25" ht="16.5">
      <c r="A111" s="16" t="s">
        <v>814</v>
      </c>
      <c r="B111" s="16" t="s">
        <v>815</v>
      </c>
      <c r="C111" s="15" t="s">
        <v>816</v>
      </c>
      <c r="D111" s="16" t="s">
        <v>100</v>
      </c>
      <c r="E111" s="16" t="s">
        <v>77</v>
      </c>
      <c r="F111" s="16" t="s">
        <v>214</v>
      </c>
      <c r="G111" s="16" t="s">
        <v>215</v>
      </c>
      <c r="H111" s="16"/>
      <c r="I111" s="16"/>
      <c r="J111" s="17">
        <v>45706</v>
      </c>
      <c r="K111" s="17"/>
      <c r="L111" s="16" t="s">
        <v>51</v>
      </c>
      <c r="M111" s="16"/>
      <c r="N111" s="16" t="s">
        <v>269</v>
      </c>
      <c r="O111" s="18" t="s">
        <v>53</v>
      </c>
      <c r="P111" s="19">
        <v>43466</v>
      </c>
      <c r="Q111" s="16" t="str">
        <f t="shared" ca="1" si="2"/>
        <v>6 years 4 months</v>
      </c>
      <c r="R111" s="16" t="s">
        <v>817</v>
      </c>
      <c r="S111" s="16" t="s">
        <v>818</v>
      </c>
      <c r="T111" s="16" t="s">
        <v>819</v>
      </c>
      <c r="U111" s="16" t="s">
        <v>295</v>
      </c>
      <c r="V111" s="15" t="s">
        <v>311</v>
      </c>
      <c r="W111" s="15" t="s">
        <v>59</v>
      </c>
      <c r="X111" s="36">
        <v>1</v>
      </c>
      <c r="Y111" s="1"/>
    </row>
    <row r="112" spans="1:25" ht="16.5">
      <c r="A112" s="16" t="s">
        <v>820</v>
      </c>
      <c r="B112" s="16" t="s">
        <v>821</v>
      </c>
      <c r="C112" s="47">
        <v>45003</v>
      </c>
      <c r="D112" s="16" t="s">
        <v>100</v>
      </c>
      <c r="E112" s="16" t="s">
        <v>696</v>
      </c>
      <c r="F112" s="16" t="s">
        <v>28</v>
      </c>
      <c r="G112" s="16" t="s">
        <v>101</v>
      </c>
      <c r="H112" t="s">
        <v>822</v>
      </c>
      <c r="I112" s="16"/>
      <c r="J112" s="17">
        <v>45694</v>
      </c>
      <c r="K112" s="17">
        <v>45755</v>
      </c>
      <c r="L112" s="16" t="s">
        <v>51</v>
      </c>
      <c r="M112" s="16"/>
      <c r="N112" s="18" t="s">
        <v>141</v>
      </c>
      <c r="O112" s="18" t="s">
        <v>53</v>
      </c>
      <c r="P112" s="47">
        <v>45003</v>
      </c>
      <c r="Q112" s="16" t="str">
        <f t="shared" ca="1" si="2"/>
        <v>2 years 2 months</v>
      </c>
      <c r="R112" s="16" t="s">
        <v>823</v>
      </c>
      <c r="S112" s="16" t="s">
        <v>824</v>
      </c>
      <c r="T112" s="16" t="s">
        <v>825</v>
      </c>
      <c r="U112" s="16"/>
      <c r="V112" s="15" t="s">
        <v>826</v>
      </c>
      <c r="W112" s="15" t="s">
        <v>59</v>
      </c>
      <c r="X112" s="20"/>
      <c r="Y112" s="1"/>
    </row>
    <row r="113" spans="1:25" ht="196.5">
      <c r="A113" s="16" t="s">
        <v>827</v>
      </c>
      <c r="B113" s="16" t="s">
        <v>828</v>
      </c>
      <c r="C113" s="15" t="s">
        <v>829</v>
      </c>
      <c r="D113" s="16" t="s">
        <v>265</v>
      </c>
      <c r="E113" s="16" t="s">
        <v>266</v>
      </c>
      <c r="F113" s="16" t="s">
        <v>401</v>
      </c>
      <c r="G113" s="16" t="s">
        <v>50</v>
      </c>
      <c r="H113" s="25" t="s">
        <v>830</v>
      </c>
      <c r="I113" s="16"/>
      <c r="J113" s="17">
        <v>45627</v>
      </c>
      <c r="K113" s="17"/>
      <c r="L113" s="16" t="s">
        <v>51</v>
      </c>
      <c r="M113" s="16"/>
      <c r="N113" s="25" t="s">
        <v>831</v>
      </c>
      <c r="O113" s="18" t="s">
        <v>80</v>
      </c>
      <c r="P113" s="19">
        <v>41827</v>
      </c>
      <c r="Q113" s="16" t="str">
        <f t="shared" ca="1" si="2"/>
        <v>10 years 10 months</v>
      </c>
      <c r="R113" s="16" t="s">
        <v>266</v>
      </c>
      <c r="S113" s="16" t="s">
        <v>153</v>
      </c>
      <c r="T113" s="16" t="s">
        <v>832</v>
      </c>
      <c r="U113" s="16" t="s">
        <v>153</v>
      </c>
      <c r="V113" s="15" t="s">
        <v>530</v>
      </c>
      <c r="W113" s="15" t="s">
        <v>531</v>
      </c>
      <c r="X113" s="24">
        <v>0.5</v>
      </c>
      <c r="Y113" s="1"/>
    </row>
    <row r="114" spans="1:25" ht="16.5">
      <c r="A114" s="16" t="s">
        <v>833</v>
      </c>
      <c r="B114" s="16" t="s">
        <v>834</v>
      </c>
      <c r="C114" s="15" t="s">
        <v>835</v>
      </c>
      <c r="D114" s="16" t="s">
        <v>76</v>
      </c>
      <c r="E114" s="16" t="s">
        <v>221</v>
      </c>
      <c r="F114" s="16" t="s">
        <v>28</v>
      </c>
      <c r="G114" s="16" t="s">
        <v>38</v>
      </c>
      <c r="H114" s="16" t="s">
        <v>836</v>
      </c>
      <c r="I114" s="16"/>
      <c r="J114" s="17"/>
      <c r="K114" s="17"/>
      <c r="L114" s="16" t="s">
        <v>51</v>
      </c>
      <c r="M114" s="16"/>
      <c r="N114" s="18" t="s">
        <v>361</v>
      </c>
      <c r="O114" s="18" t="s">
        <v>53</v>
      </c>
      <c r="P114" s="19">
        <v>44231</v>
      </c>
      <c r="Q114" s="16" t="str">
        <f t="shared" ca="1" si="2"/>
        <v>4 years 3 months</v>
      </c>
      <c r="R114" s="16" t="s">
        <v>837</v>
      </c>
      <c r="S114" s="16" t="s">
        <v>71</v>
      </c>
      <c r="T114" s="16" t="s">
        <v>838</v>
      </c>
      <c r="U114" s="16"/>
      <c r="V114" s="15" t="s">
        <v>839</v>
      </c>
      <c r="W114" s="15" t="s">
        <v>226</v>
      </c>
      <c r="X114" s="20"/>
      <c r="Y114" s="1" t="s">
        <v>365</v>
      </c>
    </row>
    <row r="115" spans="1:25" ht="16.5">
      <c r="A115" s="16" t="s">
        <v>840</v>
      </c>
      <c r="B115" s="16" t="s">
        <v>841</v>
      </c>
      <c r="C115" s="15" t="s">
        <v>842</v>
      </c>
      <c r="D115" s="16" t="s">
        <v>76</v>
      </c>
      <c r="E115" s="16" t="s">
        <v>696</v>
      </c>
      <c r="F115" s="16" t="s">
        <v>28</v>
      </c>
      <c r="G115" s="16" t="s">
        <v>101</v>
      </c>
      <c r="H115" t="s">
        <v>843</v>
      </c>
      <c r="I115" s="16"/>
      <c r="J115" s="17">
        <v>45717</v>
      </c>
      <c r="K115" s="17">
        <v>45755</v>
      </c>
      <c r="L115" s="16" t="s">
        <v>51</v>
      </c>
      <c r="M115" s="16"/>
      <c r="N115" s="16"/>
      <c r="O115" s="18" t="s">
        <v>53</v>
      </c>
      <c r="P115" s="19" t="str">
        <f>C115</f>
        <v>03 Apr 2024</v>
      </c>
      <c r="Q115" s="16" t="str">
        <f t="shared" ca="1" si="2"/>
        <v>1 years 1 months</v>
      </c>
      <c r="R115" s="16" t="s">
        <v>844</v>
      </c>
      <c r="S115" s="16" t="s">
        <v>757</v>
      </c>
      <c r="T115" s="16" t="s">
        <v>845</v>
      </c>
      <c r="U115" s="16"/>
      <c r="V115" s="15" t="s">
        <v>311</v>
      </c>
      <c r="W115" s="15" t="s">
        <v>59</v>
      </c>
      <c r="X115" s="20"/>
      <c r="Y115" s="1"/>
    </row>
    <row r="116" spans="1:25" ht="17.25">
      <c r="A116" s="48" t="s">
        <v>846</v>
      </c>
      <c r="B116" s="21" t="s">
        <v>847</v>
      </c>
      <c r="C116" s="15" t="s">
        <v>848</v>
      </c>
      <c r="D116" s="16" t="s">
        <v>100</v>
      </c>
      <c r="E116" s="16" t="s">
        <v>77</v>
      </c>
      <c r="F116" s="16" t="s">
        <v>849</v>
      </c>
      <c r="G116" s="16" t="s">
        <v>65</v>
      </c>
      <c r="H116" s="16"/>
      <c r="I116" s="16"/>
      <c r="J116" s="17"/>
      <c r="K116" s="49"/>
      <c r="L116" s="16" t="s">
        <v>51</v>
      </c>
      <c r="M116" s="16"/>
      <c r="N116" s="18" t="s">
        <v>65</v>
      </c>
      <c r="O116" s="18" t="s">
        <v>53</v>
      </c>
      <c r="P116" s="19">
        <v>42163</v>
      </c>
      <c r="Q116" s="16" t="str">
        <f t="shared" ca="1" si="2"/>
        <v>9 years 11 months</v>
      </c>
      <c r="R116" s="16" t="s">
        <v>850</v>
      </c>
      <c r="S116" s="16" t="s">
        <v>851</v>
      </c>
      <c r="T116" s="16" t="s">
        <v>852</v>
      </c>
      <c r="U116" s="16"/>
      <c r="V116" s="15" t="s">
        <v>853</v>
      </c>
      <c r="W116" s="15" t="s">
        <v>109</v>
      </c>
      <c r="X116" s="20"/>
      <c r="Y116" s="1" t="s">
        <v>78</v>
      </c>
    </row>
    <row r="117" spans="1:25" ht="16.5">
      <c r="A117" s="16" t="s">
        <v>854</v>
      </c>
      <c r="B117" s="21" t="s">
        <v>855</v>
      </c>
      <c r="C117" s="15" t="s">
        <v>848</v>
      </c>
      <c r="D117" s="16" t="s">
        <v>125</v>
      </c>
      <c r="E117" s="16" t="s">
        <v>207</v>
      </c>
      <c r="F117" s="16" t="s">
        <v>849</v>
      </c>
      <c r="G117" s="16" t="s">
        <v>65</v>
      </c>
      <c r="H117" s="16"/>
      <c r="I117" s="16"/>
      <c r="J117" s="17"/>
      <c r="K117" s="17"/>
      <c r="L117" s="16" t="s">
        <v>51</v>
      </c>
      <c r="M117" s="16"/>
      <c r="N117" s="18" t="s">
        <v>65</v>
      </c>
      <c r="O117" s="18" t="s">
        <v>53</v>
      </c>
      <c r="P117" s="19">
        <v>43070</v>
      </c>
      <c r="Q117" s="16" t="str">
        <f t="shared" ca="1" si="2"/>
        <v>7 years 5 months</v>
      </c>
      <c r="R117" s="16" t="s">
        <v>856</v>
      </c>
      <c r="S117" s="16" t="s">
        <v>383</v>
      </c>
      <c r="T117" s="16" t="s">
        <v>439</v>
      </c>
      <c r="U117" s="16"/>
      <c r="V117" s="15" t="s">
        <v>72</v>
      </c>
      <c r="W117" s="15" t="s">
        <v>72</v>
      </c>
      <c r="X117" s="20"/>
      <c r="Y117" s="1"/>
    </row>
    <row r="118" spans="1:25" ht="16.5">
      <c r="A118" s="16" t="s">
        <v>857</v>
      </c>
      <c r="B118" s="16" t="s">
        <v>858</v>
      </c>
      <c r="C118" s="15" t="s">
        <v>848</v>
      </c>
      <c r="D118" s="16" t="s">
        <v>100</v>
      </c>
      <c r="E118" s="16" t="s">
        <v>199</v>
      </c>
      <c r="F118" s="16" t="s">
        <v>214</v>
      </c>
      <c r="G118" s="16" t="s">
        <v>215</v>
      </c>
      <c r="H118" s="34" t="s">
        <v>859</v>
      </c>
      <c r="I118" s="16"/>
      <c r="J118" s="17">
        <v>45717</v>
      </c>
      <c r="K118" s="17"/>
      <c r="L118" s="16" t="s">
        <v>51</v>
      </c>
      <c r="M118" s="16"/>
      <c r="N118" s="18" t="s">
        <v>860</v>
      </c>
      <c r="O118" s="18" t="s">
        <v>53</v>
      </c>
      <c r="P118" s="19">
        <v>43466</v>
      </c>
      <c r="Q118" s="16" t="str">
        <f t="shared" ca="1" si="2"/>
        <v>6 years 4 months</v>
      </c>
      <c r="R118" s="16" t="s">
        <v>861</v>
      </c>
      <c r="S118" s="16" t="s">
        <v>295</v>
      </c>
      <c r="T118" s="16" t="s">
        <v>862</v>
      </c>
      <c r="U118" s="16"/>
      <c r="V118" s="15" t="s">
        <v>311</v>
      </c>
      <c r="W118" s="15" t="s">
        <v>59</v>
      </c>
      <c r="X118" s="20"/>
      <c r="Y118" s="1" t="s">
        <v>78</v>
      </c>
    </row>
    <row r="119" spans="1:25" ht="16.5">
      <c r="A119" s="16" t="s">
        <v>863</v>
      </c>
      <c r="B119" s="16" t="s">
        <v>864</v>
      </c>
      <c r="C119" s="15" t="s">
        <v>865</v>
      </c>
      <c r="D119" s="16" t="s">
        <v>48</v>
      </c>
      <c r="E119" s="16" t="s">
        <v>696</v>
      </c>
      <c r="F119" s="16" t="s">
        <v>697</v>
      </c>
      <c r="G119" s="16" t="s">
        <v>215</v>
      </c>
      <c r="H119" s="16"/>
      <c r="I119" s="16"/>
      <c r="J119" s="17">
        <v>45705</v>
      </c>
      <c r="K119" s="17"/>
      <c r="L119" s="16" t="s">
        <v>51</v>
      </c>
      <c r="M119" s="16"/>
      <c r="N119" s="16" t="s">
        <v>269</v>
      </c>
      <c r="O119" s="18" t="s">
        <v>80</v>
      </c>
      <c r="P119" s="19" t="str">
        <f>C119</f>
        <v>23 Apr 2024</v>
      </c>
      <c r="Q119" s="16" t="str">
        <f t="shared" ca="1" si="2"/>
        <v>1 years 1 months</v>
      </c>
      <c r="R119" s="50" t="s">
        <v>866</v>
      </c>
      <c r="S119" s="44" t="s">
        <v>867</v>
      </c>
      <c r="T119" s="16"/>
      <c r="U119" s="16"/>
      <c r="V119" s="15" t="s">
        <v>311</v>
      </c>
      <c r="W119" s="15" t="s">
        <v>59</v>
      </c>
      <c r="X119" s="36">
        <v>1</v>
      </c>
      <c r="Y119" s="1"/>
    </row>
    <row r="120" spans="1:25" ht="16.5">
      <c r="A120" s="16" t="s">
        <v>868</v>
      </c>
      <c r="B120" s="16" t="s">
        <v>869</v>
      </c>
      <c r="C120" s="15" t="s">
        <v>870</v>
      </c>
      <c r="D120" s="16" t="s">
        <v>76</v>
      </c>
      <c r="E120" s="16" t="s">
        <v>49</v>
      </c>
      <c r="F120" s="16" t="s">
        <v>214</v>
      </c>
      <c r="G120" s="16" t="s">
        <v>215</v>
      </c>
      <c r="H120" s="16" t="s">
        <v>591</v>
      </c>
      <c r="I120" s="16"/>
      <c r="J120" s="17">
        <v>45740</v>
      </c>
      <c r="K120" s="17"/>
      <c r="L120" s="16" t="s">
        <v>51</v>
      </c>
      <c r="M120" s="16"/>
      <c r="N120" s="18" t="s">
        <v>527</v>
      </c>
      <c r="O120" s="18" t="s">
        <v>53</v>
      </c>
      <c r="P120" s="19">
        <v>40484</v>
      </c>
      <c r="Q120" s="16" t="str">
        <f t="shared" ca="1" si="2"/>
        <v>14 years 6 months</v>
      </c>
      <c r="R120" s="16" t="s">
        <v>871</v>
      </c>
      <c r="S120" s="16" t="s">
        <v>872</v>
      </c>
      <c r="T120" s="16" t="s">
        <v>873</v>
      </c>
      <c r="U120" s="16" t="s">
        <v>874</v>
      </c>
      <c r="V120" s="15" t="s">
        <v>593</v>
      </c>
      <c r="W120" s="15" t="s">
        <v>84</v>
      </c>
      <c r="X120" s="20"/>
      <c r="Y120" s="1" t="s">
        <v>78</v>
      </c>
    </row>
    <row r="121" spans="1:25" ht="16.5">
      <c r="A121" s="16" t="s">
        <v>875</v>
      </c>
      <c r="B121" s="16" t="s">
        <v>369</v>
      </c>
      <c r="C121" s="15" t="s">
        <v>876</v>
      </c>
      <c r="D121" s="16" t="s">
        <v>48</v>
      </c>
      <c r="E121" s="16" t="s">
        <v>877</v>
      </c>
      <c r="F121" s="16" t="s">
        <v>28</v>
      </c>
      <c r="G121" s="16" t="s">
        <v>425</v>
      </c>
      <c r="H121" s="16" t="s">
        <v>878</v>
      </c>
      <c r="I121" s="16"/>
      <c r="J121" s="17"/>
      <c r="K121" s="17"/>
      <c r="L121" s="16" t="s">
        <v>51</v>
      </c>
      <c r="M121" s="16"/>
      <c r="N121" s="18" t="s">
        <v>425</v>
      </c>
      <c r="O121" s="18" t="s">
        <v>53</v>
      </c>
      <c r="P121" s="19">
        <v>41509</v>
      </c>
      <c r="Q121" s="16" t="str">
        <f t="shared" ca="1" si="2"/>
        <v>11 years 9 months</v>
      </c>
      <c r="R121" s="16" t="s">
        <v>879</v>
      </c>
      <c r="S121" s="16" t="s">
        <v>880</v>
      </c>
      <c r="T121" s="16" t="s">
        <v>881</v>
      </c>
      <c r="U121" s="16"/>
      <c r="V121" s="15" t="s">
        <v>882</v>
      </c>
      <c r="W121" s="15" t="s">
        <v>531</v>
      </c>
      <c r="X121" s="36">
        <v>1</v>
      </c>
      <c r="Y121" s="1"/>
    </row>
    <row r="122" spans="1:25" ht="16.5">
      <c r="A122" s="16" t="s">
        <v>883</v>
      </c>
      <c r="B122" s="16" t="s">
        <v>884</v>
      </c>
      <c r="C122" s="15" t="s">
        <v>885</v>
      </c>
      <c r="D122" s="16" t="s">
        <v>76</v>
      </c>
      <c r="E122" s="16" t="s">
        <v>77</v>
      </c>
      <c r="F122" s="16" t="s">
        <v>236</v>
      </c>
      <c r="G122" s="16" t="s">
        <v>886</v>
      </c>
      <c r="H122" s="16" t="s">
        <v>379</v>
      </c>
      <c r="I122" s="16"/>
      <c r="J122" s="17">
        <v>45717</v>
      </c>
      <c r="K122" s="17"/>
      <c r="L122" s="16" t="s">
        <v>51</v>
      </c>
      <c r="M122" s="16"/>
      <c r="N122" s="18" t="s">
        <v>239</v>
      </c>
      <c r="O122" s="18" t="s">
        <v>53</v>
      </c>
      <c r="P122" s="19">
        <v>42970</v>
      </c>
      <c r="Q122" s="16" t="str">
        <f t="shared" ca="1" si="2"/>
        <v>7 years 9 months</v>
      </c>
      <c r="R122" s="16" t="s">
        <v>887</v>
      </c>
      <c r="S122" s="16" t="s">
        <v>495</v>
      </c>
      <c r="T122" s="16" t="s">
        <v>888</v>
      </c>
      <c r="U122" s="16"/>
      <c r="V122" s="15" t="s">
        <v>83</v>
      </c>
      <c r="W122" s="15" t="s">
        <v>84</v>
      </c>
      <c r="X122" s="20"/>
      <c r="Y122" s="1" t="s">
        <v>78</v>
      </c>
    </row>
    <row r="123" spans="1:25" ht="16.5">
      <c r="A123" s="16" t="s">
        <v>889</v>
      </c>
      <c r="B123" s="16" t="s">
        <v>890</v>
      </c>
      <c r="C123" s="15" t="s">
        <v>891</v>
      </c>
      <c r="D123" s="46" t="s">
        <v>76</v>
      </c>
      <c r="E123" s="16" t="s">
        <v>77</v>
      </c>
      <c r="F123" s="16" t="s">
        <v>214</v>
      </c>
      <c r="G123" s="16" t="s">
        <v>215</v>
      </c>
      <c r="H123" s="16"/>
      <c r="I123" s="16"/>
      <c r="J123" s="17">
        <v>45694</v>
      </c>
      <c r="K123" s="17"/>
      <c r="L123" s="16" t="s">
        <v>51</v>
      </c>
      <c r="M123" s="16"/>
      <c r="N123" s="18" t="s">
        <v>141</v>
      </c>
      <c r="O123" s="18" t="s">
        <v>53</v>
      </c>
      <c r="P123" s="19">
        <v>42156</v>
      </c>
      <c r="Q123" s="16" t="str">
        <f t="shared" ca="1" si="2"/>
        <v>9 years 11 months</v>
      </c>
      <c r="R123" s="16" t="s">
        <v>892</v>
      </c>
      <c r="S123" s="16" t="s">
        <v>161</v>
      </c>
      <c r="T123" s="16" t="s">
        <v>893</v>
      </c>
      <c r="U123" s="16"/>
      <c r="V123" s="15" t="s">
        <v>894</v>
      </c>
      <c r="W123" s="15" t="s">
        <v>109</v>
      </c>
      <c r="X123" s="20"/>
      <c r="Y123" s="1"/>
    </row>
    <row r="124" spans="1:25" ht="16.5">
      <c r="A124" s="16" t="s">
        <v>895</v>
      </c>
      <c r="B124" s="16" t="s">
        <v>896</v>
      </c>
      <c r="C124" s="15" t="s">
        <v>897</v>
      </c>
      <c r="D124" s="16" t="s">
        <v>265</v>
      </c>
      <c r="E124" s="16" t="s">
        <v>266</v>
      </c>
      <c r="F124" s="16" t="s">
        <v>28</v>
      </c>
      <c r="G124" s="16" t="s">
        <v>38</v>
      </c>
      <c r="H124" s="16" t="s">
        <v>898</v>
      </c>
      <c r="I124" s="16"/>
      <c r="J124" s="17"/>
      <c r="K124" s="17"/>
      <c r="L124" s="16" t="s">
        <v>51</v>
      </c>
      <c r="M124" s="16"/>
      <c r="N124" s="18" t="s">
        <v>40</v>
      </c>
      <c r="O124" s="18" t="s">
        <v>53</v>
      </c>
      <c r="P124" s="19">
        <v>43563</v>
      </c>
      <c r="Q124" s="16" t="str">
        <f t="shared" ca="1" si="2"/>
        <v>6 years 1 months</v>
      </c>
      <c r="R124" s="16" t="s">
        <v>899</v>
      </c>
      <c r="S124" s="16" t="s">
        <v>279</v>
      </c>
      <c r="T124" s="16" t="s">
        <v>900</v>
      </c>
      <c r="U124" s="16"/>
      <c r="V124" s="15" t="s">
        <v>530</v>
      </c>
      <c r="W124" s="15" t="s">
        <v>531</v>
      </c>
      <c r="X124" s="20"/>
      <c r="Y124" s="1" t="s">
        <v>532</v>
      </c>
    </row>
    <row r="125" spans="1:25" ht="16.5">
      <c r="A125" s="16" t="s">
        <v>901</v>
      </c>
      <c r="B125" s="16" t="s">
        <v>902</v>
      </c>
      <c r="C125" s="15" t="s">
        <v>903</v>
      </c>
      <c r="D125" s="16" t="s">
        <v>100</v>
      </c>
      <c r="E125" s="16" t="s">
        <v>77</v>
      </c>
      <c r="F125" s="16" t="s">
        <v>28</v>
      </c>
      <c r="G125" s="16" t="s">
        <v>138</v>
      </c>
      <c r="H125" s="16"/>
      <c r="I125" s="16"/>
      <c r="J125" s="17">
        <v>45583</v>
      </c>
      <c r="K125" s="17">
        <v>45636</v>
      </c>
      <c r="L125" s="16" t="s">
        <v>51</v>
      </c>
      <c r="M125" s="16"/>
      <c r="N125" s="18" t="s">
        <v>191</v>
      </c>
      <c r="O125" s="18" t="s">
        <v>53</v>
      </c>
      <c r="P125" s="19">
        <v>43118</v>
      </c>
      <c r="Q125" s="16" t="str">
        <f t="shared" ca="1" si="2"/>
        <v>7 years 4 months</v>
      </c>
      <c r="R125" s="16" t="s">
        <v>904</v>
      </c>
      <c r="S125" s="16" t="s">
        <v>905</v>
      </c>
      <c r="T125" s="16" t="s">
        <v>906</v>
      </c>
      <c r="U125" s="16" t="s">
        <v>905</v>
      </c>
      <c r="V125" s="15" t="s">
        <v>894</v>
      </c>
      <c r="W125" s="15" t="s">
        <v>59</v>
      </c>
      <c r="X125" s="20"/>
      <c r="Y125" s="1"/>
    </row>
    <row r="126" spans="1:25" ht="16.5">
      <c r="A126" s="16" t="s">
        <v>907</v>
      </c>
      <c r="B126" s="16" t="s">
        <v>908</v>
      </c>
      <c r="C126" s="15" t="s">
        <v>909</v>
      </c>
      <c r="D126" s="16" t="s">
        <v>36</v>
      </c>
      <c r="E126" s="16" t="s">
        <v>696</v>
      </c>
      <c r="F126" s="16" t="s">
        <v>697</v>
      </c>
      <c r="G126" s="16" t="s">
        <v>910</v>
      </c>
      <c r="H126" s="16"/>
      <c r="I126" s="16"/>
      <c r="J126" s="17">
        <v>45432</v>
      </c>
      <c r="K126" s="17"/>
      <c r="L126" s="16" t="s">
        <v>51</v>
      </c>
      <c r="M126" s="16"/>
      <c r="N126" s="18" t="s">
        <v>474</v>
      </c>
      <c r="O126" s="18" t="s">
        <v>53</v>
      </c>
      <c r="P126" s="19" t="str">
        <f>C126</f>
        <v>20 May 2024</v>
      </c>
      <c r="Q126" s="16" t="str">
        <f t="shared" ca="1" si="2"/>
        <v>1 years 0 months</v>
      </c>
      <c r="R126" s="16" t="s">
        <v>911</v>
      </c>
      <c r="S126" s="16" t="s">
        <v>757</v>
      </c>
      <c r="T126" s="16"/>
      <c r="U126" s="16"/>
      <c r="V126" s="15" t="s">
        <v>44</v>
      </c>
      <c r="W126" s="15" t="s">
        <v>44</v>
      </c>
      <c r="X126" s="20"/>
      <c r="Y126" s="1"/>
    </row>
    <row r="127" spans="1:25" ht="16.5">
      <c r="A127" s="16" t="s">
        <v>912</v>
      </c>
      <c r="B127" s="16" t="s">
        <v>913</v>
      </c>
      <c r="C127" s="15" t="s">
        <v>909</v>
      </c>
      <c r="D127" s="16" t="s">
        <v>100</v>
      </c>
      <c r="E127" s="16" t="s">
        <v>77</v>
      </c>
      <c r="F127" s="16" t="s">
        <v>214</v>
      </c>
      <c r="G127" s="18" t="s">
        <v>215</v>
      </c>
      <c r="H127" s="34" t="s">
        <v>914</v>
      </c>
      <c r="I127" s="16"/>
      <c r="J127" s="17">
        <v>45748</v>
      </c>
      <c r="K127" s="17"/>
      <c r="L127" s="16" t="s">
        <v>51</v>
      </c>
      <c r="M127" s="16"/>
      <c r="N127" s="16" t="s">
        <v>141</v>
      </c>
      <c r="O127" s="18" t="s">
        <v>53</v>
      </c>
      <c r="P127" s="19">
        <v>43118</v>
      </c>
      <c r="Q127" s="16" t="str">
        <f t="shared" ca="1" si="2"/>
        <v>7 years 4 months</v>
      </c>
      <c r="R127" s="16" t="s">
        <v>193</v>
      </c>
      <c r="S127" s="16" t="s">
        <v>383</v>
      </c>
      <c r="T127" s="16" t="s">
        <v>915</v>
      </c>
      <c r="U127" s="16" t="s">
        <v>383</v>
      </c>
      <c r="V127" s="15" t="s">
        <v>916</v>
      </c>
      <c r="W127" s="15" t="s">
        <v>59</v>
      </c>
      <c r="X127" s="20"/>
      <c r="Y127" s="1"/>
    </row>
    <row r="128" spans="1:25" ht="16.5">
      <c r="A128" s="16" t="s">
        <v>917</v>
      </c>
      <c r="B128" s="16" t="s">
        <v>918</v>
      </c>
      <c r="C128" s="15" t="s">
        <v>919</v>
      </c>
      <c r="D128" s="16" t="s">
        <v>63</v>
      </c>
      <c r="E128" s="16" t="s">
        <v>64</v>
      </c>
      <c r="F128" s="16" t="s">
        <v>28</v>
      </c>
      <c r="G128" s="16" t="s">
        <v>50</v>
      </c>
      <c r="H128" s="16"/>
      <c r="I128" s="16"/>
      <c r="J128" s="17">
        <v>45748</v>
      </c>
      <c r="K128" s="17">
        <v>45754</v>
      </c>
      <c r="L128" s="16" t="s">
        <v>51</v>
      </c>
      <c r="M128" s="16"/>
      <c r="N128" s="18" t="s">
        <v>409</v>
      </c>
      <c r="O128" s="18" t="s">
        <v>53</v>
      </c>
      <c r="P128" s="19">
        <v>42371</v>
      </c>
      <c r="Q128" s="16" t="str">
        <f t="shared" ca="1" si="2"/>
        <v>9 years 4 months</v>
      </c>
      <c r="R128" s="16" t="s">
        <v>920</v>
      </c>
      <c r="S128" s="16" t="s">
        <v>161</v>
      </c>
      <c r="T128" s="16" t="s">
        <v>921</v>
      </c>
      <c r="U128" s="16"/>
      <c r="V128" s="15" t="s">
        <v>132</v>
      </c>
      <c r="W128" s="15" t="s">
        <v>132</v>
      </c>
      <c r="X128" s="20"/>
      <c r="Y128" s="1"/>
    </row>
    <row r="129" spans="1:25" ht="16.5">
      <c r="A129" s="16" t="s">
        <v>922</v>
      </c>
      <c r="B129" s="16" t="s">
        <v>923</v>
      </c>
      <c r="C129" s="15" t="s">
        <v>919</v>
      </c>
      <c r="D129" s="16" t="s">
        <v>265</v>
      </c>
      <c r="E129" s="16" t="s">
        <v>525</v>
      </c>
      <c r="F129" s="16" t="s">
        <v>28</v>
      </c>
      <c r="G129" s="16" t="s">
        <v>886</v>
      </c>
      <c r="H129" s="16" t="s">
        <v>924</v>
      </c>
      <c r="I129" s="16"/>
      <c r="J129" s="17">
        <v>45596</v>
      </c>
      <c r="K129" s="17">
        <v>45768</v>
      </c>
      <c r="L129" s="16" t="s">
        <v>51</v>
      </c>
      <c r="M129" s="16"/>
      <c r="N129" s="16" t="s">
        <v>520</v>
      </c>
      <c r="O129" s="18" t="s">
        <v>53</v>
      </c>
      <c r="P129" s="19">
        <v>41887</v>
      </c>
      <c r="Q129" s="16" t="str">
        <f t="shared" ca="1" si="2"/>
        <v>10 years 8 months</v>
      </c>
      <c r="R129" s="16" t="s">
        <v>925</v>
      </c>
      <c r="S129" s="16" t="s">
        <v>383</v>
      </c>
      <c r="T129" s="16" t="s">
        <v>926</v>
      </c>
      <c r="U129" s="16"/>
      <c r="V129" s="15" t="s">
        <v>927</v>
      </c>
      <c r="W129" s="15" t="s">
        <v>531</v>
      </c>
      <c r="X129" s="24">
        <v>1</v>
      </c>
      <c r="Y129" s="1"/>
    </row>
    <row r="130" spans="1:25" ht="16.5">
      <c r="A130" s="14" t="s">
        <v>928</v>
      </c>
      <c r="B130" s="14" t="s">
        <v>929</v>
      </c>
      <c r="C130" s="15" t="s">
        <v>930</v>
      </c>
      <c r="D130" s="16" t="s">
        <v>76</v>
      </c>
      <c r="E130" s="14" t="s">
        <v>284</v>
      </c>
      <c r="F130" s="16" t="s">
        <v>236</v>
      </c>
      <c r="G130" s="16" t="s">
        <v>38</v>
      </c>
      <c r="H130" s="16" t="s">
        <v>931</v>
      </c>
      <c r="I130" s="14"/>
      <c r="J130" s="17">
        <v>45659</v>
      </c>
      <c r="K130" s="17"/>
      <c r="L130" s="14" t="s">
        <v>51</v>
      </c>
      <c r="M130" s="14"/>
      <c r="N130" s="18" t="s">
        <v>79</v>
      </c>
      <c r="O130" s="18" t="s">
        <v>53</v>
      </c>
      <c r="P130" s="19">
        <v>44713</v>
      </c>
      <c r="Q130" s="16" t="str">
        <f t="shared" ref="Q130:Q144" ca="1" si="4">DATEDIF(P130, TODAY(), "Y") &amp; " years " &amp; DATEDIF(P130, TODAY(), "YM") &amp; " months"</f>
        <v>2 years 11 months</v>
      </c>
      <c r="R130" s="14" t="s">
        <v>932</v>
      </c>
      <c r="S130" s="14" t="s">
        <v>933</v>
      </c>
      <c r="T130" s="51" t="s">
        <v>934</v>
      </c>
      <c r="U130" s="14" t="s">
        <v>281</v>
      </c>
      <c r="V130" s="15" t="s">
        <v>935</v>
      </c>
      <c r="W130" s="15" t="s">
        <v>59</v>
      </c>
      <c r="X130" s="20"/>
      <c r="Y130" s="1" t="s">
        <v>78</v>
      </c>
    </row>
    <row r="131" spans="1:25" ht="16.5">
      <c r="A131" s="14" t="s">
        <v>936</v>
      </c>
      <c r="B131" s="14" t="s">
        <v>937</v>
      </c>
      <c r="C131" s="15" t="s">
        <v>938</v>
      </c>
      <c r="D131" s="14" t="s">
        <v>265</v>
      </c>
      <c r="E131" s="14" t="s">
        <v>266</v>
      </c>
      <c r="F131" s="16" t="s">
        <v>214</v>
      </c>
      <c r="G131" s="16" t="s">
        <v>215</v>
      </c>
      <c r="H131" s="16"/>
      <c r="I131" s="14"/>
      <c r="J131" s="17">
        <v>45748</v>
      </c>
      <c r="K131" s="17"/>
      <c r="L131" s="14" t="s">
        <v>51</v>
      </c>
      <c r="M131" s="14"/>
      <c r="N131" s="18" t="s">
        <v>409</v>
      </c>
      <c r="O131" s="18" t="s">
        <v>80</v>
      </c>
      <c r="P131" s="19">
        <v>42278</v>
      </c>
      <c r="Q131" s="16" t="str">
        <f t="shared" ca="1" si="4"/>
        <v>9 years 7 months</v>
      </c>
      <c r="R131" s="14" t="s">
        <v>266</v>
      </c>
      <c r="S131" s="14" t="s">
        <v>939</v>
      </c>
      <c r="T131" s="14" t="s">
        <v>940</v>
      </c>
      <c r="U131" s="14" t="s">
        <v>260</v>
      </c>
      <c r="V131" s="15" t="s">
        <v>266</v>
      </c>
      <c r="W131" s="15" t="s">
        <v>531</v>
      </c>
      <c r="X131" s="20"/>
      <c r="Y131" s="1"/>
    </row>
    <row r="132" spans="1:25" ht="16.5">
      <c r="A132" s="14" t="s">
        <v>941</v>
      </c>
      <c r="B132" s="14" t="s">
        <v>942</v>
      </c>
      <c r="C132" s="15" t="s">
        <v>943</v>
      </c>
      <c r="D132" s="16" t="s">
        <v>100</v>
      </c>
      <c r="E132" s="14" t="s">
        <v>77</v>
      </c>
      <c r="F132" s="16" t="s">
        <v>214</v>
      </c>
      <c r="G132" s="16" t="s">
        <v>215</v>
      </c>
      <c r="H132" s="16"/>
      <c r="I132" s="14"/>
      <c r="J132" s="17">
        <v>45717</v>
      </c>
      <c r="K132" s="17"/>
      <c r="L132" s="14" t="s">
        <v>51</v>
      </c>
      <c r="M132" s="14"/>
      <c r="N132" s="18" t="s">
        <v>860</v>
      </c>
      <c r="O132" s="18" t="s">
        <v>53</v>
      </c>
      <c r="P132" s="19">
        <v>43612</v>
      </c>
      <c r="Q132" s="16" t="str">
        <f t="shared" ca="1" si="4"/>
        <v>6 years 0 months</v>
      </c>
      <c r="R132" s="14" t="s">
        <v>944</v>
      </c>
      <c r="S132" s="14" t="s">
        <v>945</v>
      </c>
      <c r="T132" s="14" t="s">
        <v>946</v>
      </c>
      <c r="U132" s="14"/>
      <c r="V132" s="15" t="s">
        <v>311</v>
      </c>
      <c r="W132" s="15" t="s">
        <v>59</v>
      </c>
      <c r="X132" s="20"/>
      <c r="Y132" s="1" t="s">
        <v>78</v>
      </c>
    </row>
    <row r="133" spans="1:25" ht="17.25">
      <c r="A133" s="14" t="s">
        <v>947</v>
      </c>
      <c r="B133" s="14" t="s">
        <v>948</v>
      </c>
      <c r="C133" s="15" t="s">
        <v>949</v>
      </c>
      <c r="D133" s="14" t="s">
        <v>369</v>
      </c>
      <c r="E133" s="14" t="s">
        <v>950</v>
      </c>
      <c r="F133" s="16" t="s">
        <v>28</v>
      </c>
      <c r="G133" s="16" t="s">
        <v>50</v>
      </c>
      <c r="H133" s="16"/>
      <c r="I133" s="14"/>
      <c r="J133" s="17">
        <v>45481</v>
      </c>
      <c r="K133" s="17">
        <v>45764</v>
      </c>
      <c r="L133" s="14" t="s">
        <v>51</v>
      </c>
      <c r="M133" s="14"/>
      <c r="N133" s="16" t="s">
        <v>520</v>
      </c>
      <c r="O133" s="18" t="s">
        <v>53</v>
      </c>
      <c r="P133" s="19">
        <v>44763</v>
      </c>
      <c r="Q133" s="16" t="str">
        <f t="shared" ca="1" si="4"/>
        <v>2 years 10 months</v>
      </c>
      <c r="R133" s="14" t="s">
        <v>951</v>
      </c>
      <c r="S133" s="14" t="s">
        <v>279</v>
      </c>
      <c r="T133" s="52" t="s">
        <v>952</v>
      </c>
      <c r="U133" s="14" t="s">
        <v>281</v>
      </c>
      <c r="V133" s="15" t="s">
        <v>951</v>
      </c>
      <c r="W133" s="15" t="s">
        <v>121</v>
      </c>
      <c r="X133" s="24">
        <v>1</v>
      </c>
      <c r="Y133" s="1"/>
    </row>
    <row r="134" spans="1:25" ht="16.5">
      <c r="A134" s="14" t="s">
        <v>953</v>
      </c>
      <c r="B134" s="14" t="s">
        <v>954</v>
      </c>
      <c r="C134" s="15" t="s">
        <v>955</v>
      </c>
      <c r="D134" s="14" t="s">
        <v>137</v>
      </c>
      <c r="E134" s="14" t="s">
        <v>126</v>
      </c>
      <c r="F134" s="16" t="s">
        <v>28</v>
      </c>
      <c r="G134" s="16" t="s">
        <v>138</v>
      </c>
      <c r="H134" s="34" t="s">
        <v>956</v>
      </c>
      <c r="I134" s="14"/>
      <c r="J134" s="17">
        <v>45726</v>
      </c>
      <c r="K134" s="17">
        <v>45737</v>
      </c>
      <c r="L134" s="14" t="s">
        <v>51</v>
      </c>
      <c r="M134" s="14"/>
      <c r="N134" s="16" t="s">
        <v>191</v>
      </c>
      <c r="O134" s="18" t="s">
        <v>80</v>
      </c>
      <c r="P134" s="19">
        <v>43047</v>
      </c>
      <c r="Q134" s="16" t="str">
        <f t="shared" ca="1" si="4"/>
        <v>7 years 6 months</v>
      </c>
      <c r="R134" s="14" t="s">
        <v>692</v>
      </c>
      <c r="S134" s="14" t="s">
        <v>601</v>
      </c>
      <c r="T134" s="14" t="s">
        <v>691</v>
      </c>
      <c r="U134" s="14" t="s">
        <v>71</v>
      </c>
      <c r="V134" s="15" t="s">
        <v>132</v>
      </c>
      <c r="W134" s="15" t="s">
        <v>132</v>
      </c>
      <c r="X134" s="20"/>
      <c r="Y134" s="1"/>
    </row>
    <row r="135" spans="1:25" ht="16.5">
      <c r="A135" s="14" t="s">
        <v>957</v>
      </c>
      <c r="B135" s="14" t="s">
        <v>958</v>
      </c>
      <c r="C135" s="15" t="s">
        <v>959</v>
      </c>
      <c r="D135" s="16" t="s">
        <v>100</v>
      </c>
      <c r="E135" s="14" t="s">
        <v>77</v>
      </c>
      <c r="F135" s="16" t="s">
        <v>214</v>
      </c>
      <c r="G135" s="16" t="s">
        <v>215</v>
      </c>
      <c r="H135" s="34" t="s">
        <v>480</v>
      </c>
      <c r="I135" s="14"/>
      <c r="J135" s="17">
        <v>45748</v>
      </c>
      <c r="K135" s="17"/>
      <c r="L135" s="14" t="s">
        <v>51</v>
      </c>
      <c r="M135" s="14"/>
      <c r="N135" s="14" t="s">
        <v>409</v>
      </c>
      <c r="O135" s="18" t="s">
        <v>80</v>
      </c>
      <c r="P135" s="19">
        <v>42795</v>
      </c>
      <c r="Q135" s="16" t="str">
        <f t="shared" ca="1" si="4"/>
        <v>8 years 2 months</v>
      </c>
      <c r="R135" s="14" t="s">
        <v>960</v>
      </c>
      <c r="S135" s="14" t="s">
        <v>161</v>
      </c>
      <c r="T135" s="14" t="s">
        <v>961</v>
      </c>
      <c r="U135" s="14" t="s">
        <v>57</v>
      </c>
      <c r="V135" s="15" t="s">
        <v>481</v>
      </c>
      <c r="W135" s="15" t="s">
        <v>962</v>
      </c>
      <c r="X135" s="20"/>
      <c r="Y135" s="1"/>
    </row>
    <row r="136" spans="1:25" ht="16.5">
      <c r="A136" s="14" t="s">
        <v>963</v>
      </c>
      <c r="B136" s="34" t="s">
        <v>125</v>
      </c>
      <c r="C136" s="15" t="s">
        <v>964</v>
      </c>
      <c r="D136" s="14" t="s">
        <v>63</v>
      </c>
      <c r="E136" s="14" t="s">
        <v>165</v>
      </c>
      <c r="F136" s="16" t="s">
        <v>28</v>
      </c>
      <c r="G136" s="16" t="s">
        <v>38</v>
      </c>
      <c r="H136" s="34" t="s">
        <v>965</v>
      </c>
      <c r="I136" s="14"/>
      <c r="J136" s="17"/>
      <c r="K136" s="17"/>
      <c r="L136" s="14" t="s">
        <v>51</v>
      </c>
      <c r="M136" s="14"/>
      <c r="N136" s="14" t="s">
        <v>966</v>
      </c>
      <c r="O136" s="18" t="s">
        <v>53</v>
      </c>
      <c r="P136" s="19">
        <v>40637</v>
      </c>
      <c r="Q136" s="16" t="str">
        <f t="shared" ca="1" si="4"/>
        <v>14 years 1 months</v>
      </c>
      <c r="R136" s="14" t="s">
        <v>967</v>
      </c>
      <c r="S136" s="14" t="s">
        <v>153</v>
      </c>
      <c r="T136" s="14" t="s">
        <v>968</v>
      </c>
      <c r="U136" s="14" t="s">
        <v>57</v>
      </c>
      <c r="V136" s="15" t="s">
        <v>132</v>
      </c>
      <c r="W136" s="15" t="s">
        <v>132</v>
      </c>
      <c r="X136" s="20"/>
      <c r="Y136" s="1" t="s">
        <v>133</v>
      </c>
    </row>
    <row r="137" spans="1:25" ht="16.5">
      <c r="A137" s="14" t="s">
        <v>969</v>
      </c>
      <c r="B137" s="14" t="s">
        <v>970</v>
      </c>
      <c r="C137" s="15" t="s">
        <v>971</v>
      </c>
      <c r="D137" s="14" t="s">
        <v>369</v>
      </c>
      <c r="E137" s="14" t="s">
        <v>972</v>
      </c>
      <c r="F137" s="16" t="s">
        <v>28</v>
      </c>
      <c r="G137" s="16" t="s">
        <v>269</v>
      </c>
      <c r="H137" s="16"/>
      <c r="I137" s="14"/>
      <c r="J137" s="17"/>
      <c r="K137" s="17"/>
      <c r="L137" s="14" t="s">
        <v>51</v>
      </c>
      <c r="M137" s="14"/>
      <c r="N137" s="16" t="s">
        <v>269</v>
      </c>
      <c r="O137" s="18" t="s">
        <v>53</v>
      </c>
      <c r="P137" s="19">
        <v>43665</v>
      </c>
      <c r="Q137" s="16" t="str">
        <f t="shared" ca="1" si="4"/>
        <v>5 years 10 months</v>
      </c>
      <c r="R137" s="14" t="s">
        <v>973</v>
      </c>
      <c r="S137" s="14" t="s">
        <v>676</v>
      </c>
      <c r="T137" s="14" t="s">
        <v>974</v>
      </c>
      <c r="U137" s="14" t="s">
        <v>281</v>
      </c>
      <c r="V137" s="15" t="s">
        <v>975</v>
      </c>
      <c r="W137" s="15" t="s">
        <v>976</v>
      </c>
      <c r="X137" s="36">
        <v>1</v>
      </c>
      <c r="Y137" s="1"/>
    </row>
    <row r="138" spans="1:25" ht="16.5">
      <c r="A138" s="14" t="s">
        <v>977</v>
      </c>
      <c r="B138" s="14" t="s">
        <v>978</v>
      </c>
      <c r="C138" s="15" t="s">
        <v>971</v>
      </c>
      <c r="D138" s="16" t="s">
        <v>100</v>
      </c>
      <c r="E138" s="14" t="s">
        <v>235</v>
      </c>
      <c r="F138" s="16" t="s">
        <v>214</v>
      </c>
      <c r="G138" s="16" t="s">
        <v>215</v>
      </c>
      <c r="H138" s="16" t="s">
        <v>979</v>
      </c>
      <c r="I138" s="14"/>
      <c r="J138" s="17">
        <v>45723</v>
      </c>
      <c r="K138" s="17"/>
      <c r="L138" s="14" t="s">
        <v>51</v>
      </c>
      <c r="M138" s="14"/>
      <c r="N138" s="14" t="s">
        <v>141</v>
      </c>
      <c r="O138" s="18" t="s">
        <v>53</v>
      </c>
      <c r="P138" s="19">
        <v>43376</v>
      </c>
      <c r="Q138" s="16" t="str">
        <f t="shared" ca="1" si="4"/>
        <v>6 years 7 months</v>
      </c>
      <c r="R138" s="14" t="s">
        <v>980</v>
      </c>
      <c r="S138" s="14" t="s">
        <v>676</v>
      </c>
      <c r="T138" s="14" t="s">
        <v>981</v>
      </c>
      <c r="U138" s="14" t="s">
        <v>71</v>
      </c>
      <c r="V138" s="15" t="s">
        <v>311</v>
      </c>
      <c r="W138" s="15" t="s">
        <v>982</v>
      </c>
      <c r="X138" s="20"/>
      <c r="Y138" s="1"/>
    </row>
    <row r="139" spans="1:25" ht="16.5">
      <c r="A139" s="14" t="s">
        <v>983</v>
      </c>
      <c r="B139" s="14" t="s">
        <v>984</v>
      </c>
      <c r="C139" s="15" t="s">
        <v>985</v>
      </c>
      <c r="D139" s="14" t="s">
        <v>88</v>
      </c>
      <c r="E139" s="14" t="s">
        <v>986</v>
      </c>
      <c r="F139" s="16" t="s">
        <v>214</v>
      </c>
      <c r="G139" s="16" t="s">
        <v>215</v>
      </c>
      <c r="H139" s="16" t="s">
        <v>426</v>
      </c>
      <c r="I139" s="14"/>
      <c r="J139" s="17">
        <v>45705</v>
      </c>
      <c r="K139" s="17"/>
      <c r="L139" s="14" t="s">
        <v>51</v>
      </c>
      <c r="M139" s="14"/>
      <c r="N139" s="16" t="s">
        <v>987</v>
      </c>
      <c r="O139" s="18" t="s">
        <v>80</v>
      </c>
      <c r="P139" s="19">
        <v>44809</v>
      </c>
      <c r="Q139" s="16" t="str">
        <f t="shared" ca="1" si="4"/>
        <v>2 years 8 months</v>
      </c>
      <c r="R139" s="14" t="s">
        <v>988</v>
      </c>
      <c r="S139" s="14" t="s">
        <v>57</v>
      </c>
      <c r="T139" s="14" t="s">
        <v>989</v>
      </c>
      <c r="U139" s="14" t="s">
        <v>57</v>
      </c>
      <c r="V139" s="53" t="s">
        <v>990</v>
      </c>
      <c r="W139" s="15" t="s">
        <v>121</v>
      </c>
      <c r="X139" s="20">
        <v>0.2</v>
      </c>
      <c r="Y139" s="1"/>
    </row>
    <row r="140" spans="1:25" ht="16.5">
      <c r="A140" s="14" t="s">
        <v>991</v>
      </c>
      <c r="B140" s="14" t="s">
        <v>992</v>
      </c>
      <c r="C140" s="15" t="s">
        <v>993</v>
      </c>
      <c r="D140" s="14" t="s">
        <v>76</v>
      </c>
      <c r="E140" s="14" t="s">
        <v>284</v>
      </c>
      <c r="F140" s="16" t="s">
        <v>236</v>
      </c>
      <c r="G140" s="16" t="s">
        <v>65</v>
      </c>
      <c r="H140" s="16"/>
      <c r="I140" s="14"/>
      <c r="J140" s="17">
        <v>45603</v>
      </c>
      <c r="K140" s="17">
        <v>45645</v>
      </c>
      <c r="L140" s="14" t="s">
        <v>51</v>
      </c>
      <c r="M140" s="14"/>
      <c r="N140" s="14" t="s">
        <v>65</v>
      </c>
      <c r="O140" s="18" t="s">
        <v>80</v>
      </c>
      <c r="P140" s="19">
        <v>44958</v>
      </c>
      <c r="Q140" s="16" t="str">
        <f t="shared" ca="1" si="4"/>
        <v>2 years 3 months</v>
      </c>
      <c r="R140" s="14" t="s">
        <v>994</v>
      </c>
      <c r="S140" s="16" t="s">
        <v>391</v>
      </c>
      <c r="T140" s="14" t="s">
        <v>995</v>
      </c>
      <c r="U140" s="16" t="s">
        <v>391</v>
      </c>
      <c r="V140" s="15" t="s">
        <v>108</v>
      </c>
      <c r="W140" s="15" t="s">
        <v>109</v>
      </c>
      <c r="X140" s="20"/>
      <c r="Y140" s="1"/>
    </row>
    <row r="141" spans="1:25" ht="16.5">
      <c r="A141" s="14" t="s">
        <v>996</v>
      </c>
      <c r="B141" s="14" t="s">
        <v>997</v>
      </c>
      <c r="C141" s="15" t="s">
        <v>998</v>
      </c>
      <c r="D141" s="14" t="s">
        <v>137</v>
      </c>
      <c r="E141" s="14" t="s">
        <v>999</v>
      </c>
      <c r="F141" s="16" t="s">
        <v>214</v>
      </c>
      <c r="G141" s="16" t="s">
        <v>215</v>
      </c>
      <c r="H141" s="16"/>
      <c r="I141" s="14"/>
      <c r="J141" s="17">
        <v>45726</v>
      </c>
      <c r="K141" s="17"/>
      <c r="L141" s="14" t="s">
        <v>51</v>
      </c>
      <c r="M141" s="14"/>
      <c r="N141" s="14" t="s">
        <v>1000</v>
      </c>
      <c r="O141" s="18" t="s">
        <v>80</v>
      </c>
      <c r="P141" s="19">
        <v>44958</v>
      </c>
      <c r="Q141" s="16" t="str">
        <f t="shared" ca="1" si="4"/>
        <v>2 years 3 months</v>
      </c>
      <c r="R141" s="14" t="s">
        <v>1001</v>
      </c>
      <c r="S141" s="16" t="s">
        <v>1002</v>
      </c>
      <c r="T141" s="51" t="s">
        <v>1003</v>
      </c>
      <c r="U141" s="16" t="s">
        <v>1002</v>
      </c>
      <c r="V141" s="15" t="s">
        <v>72</v>
      </c>
      <c r="W141" s="15" t="s">
        <v>72</v>
      </c>
      <c r="X141" s="20"/>
      <c r="Y141" s="1"/>
    </row>
    <row r="142" spans="1:25" ht="16.5">
      <c r="A142" s="14" t="s">
        <v>1004</v>
      </c>
      <c r="B142" s="14" t="s">
        <v>1005</v>
      </c>
      <c r="C142" s="15" t="s">
        <v>1006</v>
      </c>
      <c r="D142" s="16" t="s">
        <v>76</v>
      </c>
      <c r="E142" s="14" t="s">
        <v>49</v>
      </c>
      <c r="F142" s="16" t="s">
        <v>214</v>
      </c>
      <c r="G142" s="16" t="s">
        <v>215</v>
      </c>
      <c r="H142" s="16" t="s">
        <v>1007</v>
      </c>
      <c r="I142" s="14"/>
      <c r="J142" s="17">
        <v>45748</v>
      </c>
      <c r="K142" s="19"/>
      <c r="L142" s="14" t="s">
        <v>51</v>
      </c>
      <c r="M142" s="14"/>
      <c r="N142" s="16" t="s">
        <v>409</v>
      </c>
      <c r="O142" s="18" t="s">
        <v>53</v>
      </c>
      <c r="P142" s="19">
        <v>38753</v>
      </c>
      <c r="Q142" s="16" t="str">
        <f t="shared" ca="1" si="4"/>
        <v>19 years 3 months</v>
      </c>
      <c r="R142" s="14" t="s">
        <v>1008</v>
      </c>
      <c r="S142" s="14" t="s">
        <v>622</v>
      </c>
      <c r="T142" s="14" t="s">
        <v>1009</v>
      </c>
      <c r="U142" s="14" t="s">
        <v>622</v>
      </c>
      <c r="V142" s="15" t="s">
        <v>481</v>
      </c>
      <c r="W142" s="15" t="s">
        <v>962</v>
      </c>
      <c r="X142" s="20"/>
      <c r="Y142" s="1"/>
    </row>
    <row r="143" spans="1:25" ht="16.5">
      <c r="A143" s="14" t="s">
        <v>1010</v>
      </c>
      <c r="B143" s="54" t="s">
        <v>1011</v>
      </c>
      <c r="C143" s="15" t="s">
        <v>1012</v>
      </c>
      <c r="D143" s="16" t="s">
        <v>100</v>
      </c>
      <c r="E143" s="14" t="s">
        <v>199</v>
      </c>
      <c r="F143" s="16" t="s">
        <v>28</v>
      </c>
      <c r="G143" s="16" t="s">
        <v>65</v>
      </c>
      <c r="H143" s="16"/>
      <c r="I143" s="14"/>
      <c r="J143" s="17"/>
      <c r="K143" s="17"/>
      <c r="L143" s="14" t="s">
        <v>51</v>
      </c>
      <c r="M143" s="14"/>
      <c r="N143" s="55" t="s">
        <v>65</v>
      </c>
      <c r="O143" s="18" t="s">
        <v>53</v>
      </c>
      <c r="P143" s="19">
        <v>44291</v>
      </c>
      <c r="Q143" s="16" t="str">
        <f t="shared" ca="1" si="4"/>
        <v>4 years 1 months</v>
      </c>
      <c r="R143" s="15" t="s">
        <v>1013</v>
      </c>
      <c r="S143" s="16" t="s">
        <v>273</v>
      </c>
      <c r="T143" s="14" t="s">
        <v>1014</v>
      </c>
      <c r="U143" s="16" t="s">
        <v>273</v>
      </c>
      <c r="V143" s="15" t="s">
        <v>311</v>
      </c>
      <c r="W143" s="15" t="s">
        <v>982</v>
      </c>
      <c r="X143" s="20"/>
      <c r="Y143" s="1" t="s">
        <v>78</v>
      </c>
    </row>
    <row r="144" spans="1:25" ht="16.5">
      <c r="A144" s="14" t="s">
        <v>1015</v>
      </c>
      <c r="B144" s="14" t="s">
        <v>1016</v>
      </c>
      <c r="C144" s="15" t="s">
        <v>1017</v>
      </c>
      <c r="D144" s="14" t="s">
        <v>76</v>
      </c>
      <c r="E144" s="14" t="s">
        <v>221</v>
      </c>
      <c r="F144" s="16" t="s">
        <v>28</v>
      </c>
      <c r="G144" s="16" t="s">
        <v>38</v>
      </c>
      <c r="H144" s="16" t="s">
        <v>1018</v>
      </c>
      <c r="I144" s="14"/>
      <c r="J144" s="17"/>
      <c r="K144" s="17"/>
      <c r="L144" s="14" t="s">
        <v>51</v>
      </c>
      <c r="M144" s="14"/>
      <c r="N144" s="18" t="s">
        <v>1019</v>
      </c>
      <c r="O144" s="18" t="s">
        <v>80</v>
      </c>
      <c r="P144" s="19">
        <v>44784</v>
      </c>
      <c r="Q144" s="16" t="str">
        <f t="shared" ca="1" si="4"/>
        <v>2 years 9 months</v>
      </c>
      <c r="R144" s="15" t="s">
        <v>1020</v>
      </c>
      <c r="S144" s="14" t="s">
        <v>57</v>
      </c>
      <c r="T144" s="14" t="s">
        <v>1021</v>
      </c>
      <c r="U144" s="14" t="s">
        <v>57</v>
      </c>
      <c r="V144" s="15" t="s">
        <v>1022</v>
      </c>
      <c r="W144" s="15" t="s">
        <v>1023</v>
      </c>
      <c r="X144" s="20"/>
      <c r="Y144" s="1" t="s">
        <v>365</v>
      </c>
    </row>
    <row r="145" spans="1:25" ht="16.5">
      <c r="A145" s="14" t="s">
        <v>1024</v>
      </c>
      <c r="B145" s="54" t="s">
        <v>1025</v>
      </c>
      <c r="C145" s="15" t="s">
        <v>1026</v>
      </c>
      <c r="D145" s="14" t="s">
        <v>63</v>
      </c>
      <c r="E145" s="14" t="s">
        <v>1027</v>
      </c>
      <c r="F145" s="16" t="s">
        <v>28</v>
      </c>
      <c r="G145" s="14" t="s">
        <v>65</v>
      </c>
      <c r="H145" s="14"/>
      <c r="I145" s="14"/>
      <c r="J145" s="17">
        <v>45726</v>
      </c>
      <c r="K145" s="17">
        <v>45772</v>
      </c>
      <c r="L145" s="14" t="s">
        <v>51</v>
      </c>
      <c r="M145" s="14"/>
      <c r="N145" s="18" t="s">
        <v>1028</v>
      </c>
      <c r="O145" s="18" t="s">
        <v>53</v>
      </c>
      <c r="P145" s="47">
        <v>41437</v>
      </c>
      <c r="Q145" s="16" t="s">
        <v>1029</v>
      </c>
      <c r="R145" s="15" t="s">
        <v>1030</v>
      </c>
      <c r="S145" s="14" t="s">
        <v>1031</v>
      </c>
      <c r="T145" s="14" t="s">
        <v>1032</v>
      </c>
      <c r="U145" s="14" t="s">
        <v>1033</v>
      </c>
      <c r="V145" s="15" t="s">
        <v>72</v>
      </c>
      <c r="W145" s="15" t="s">
        <v>72</v>
      </c>
      <c r="X145" s="20"/>
      <c r="Y145" s="1"/>
    </row>
    <row r="146" spans="1:25" ht="16.5">
      <c r="A146" s="14" t="s">
        <v>1034</v>
      </c>
      <c r="B146" s="14" t="s">
        <v>1035</v>
      </c>
      <c r="C146" s="15" t="s">
        <v>1026</v>
      </c>
      <c r="D146" s="14" t="s">
        <v>76</v>
      </c>
      <c r="E146" s="16" t="s">
        <v>696</v>
      </c>
      <c r="F146" s="16" t="s">
        <v>697</v>
      </c>
      <c r="G146" s="16" t="s">
        <v>215</v>
      </c>
      <c r="H146" s="14" t="s">
        <v>1036</v>
      </c>
      <c r="I146" s="14"/>
      <c r="J146" s="15" t="s">
        <v>1026</v>
      </c>
      <c r="K146" s="17"/>
      <c r="L146" s="14" t="s">
        <v>51</v>
      </c>
      <c r="M146" s="14"/>
      <c r="N146" s="18"/>
      <c r="O146" s="18" t="s">
        <v>53</v>
      </c>
      <c r="P146" s="15" t="s">
        <v>1026</v>
      </c>
      <c r="Q146" s="16" t="str">
        <f ca="1">DATEDIF(P146, TODAY(), "Y") &amp; " years " &amp; DATEDIF(P146, TODAY(), "YM") &amp; " months"</f>
        <v>0 years 8 months</v>
      </c>
      <c r="R146" s="15" t="s">
        <v>1037</v>
      </c>
      <c r="S146" s="14" t="s">
        <v>874</v>
      </c>
      <c r="T146" s="14"/>
      <c r="U146" s="14"/>
      <c r="V146" s="15" t="s">
        <v>1037</v>
      </c>
      <c r="W146" s="15" t="s">
        <v>109</v>
      </c>
      <c r="X146" s="20"/>
      <c r="Y146" s="1"/>
    </row>
    <row r="147" spans="1:25" ht="16.5">
      <c r="A147" s="14" t="s">
        <v>1038</v>
      </c>
      <c r="B147" s="14" t="s">
        <v>1039</v>
      </c>
      <c r="C147" s="15" t="s">
        <v>1026</v>
      </c>
      <c r="D147" s="14" t="s">
        <v>76</v>
      </c>
      <c r="E147" s="14" t="s">
        <v>221</v>
      </c>
      <c r="F147" s="16" t="s">
        <v>28</v>
      </c>
      <c r="G147" s="16" t="s">
        <v>38</v>
      </c>
      <c r="H147" s="16" t="s">
        <v>1040</v>
      </c>
      <c r="I147" s="14"/>
      <c r="J147" s="17"/>
      <c r="K147" s="17"/>
      <c r="L147" s="14" t="s">
        <v>51</v>
      </c>
      <c r="M147" s="14"/>
      <c r="N147" s="18" t="s">
        <v>361</v>
      </c>
      <c r="O147" s="18" t="s">
        <v>80</v>
      </c>
      <c r="P147" s="19">
        <v>43571</v>
      </c>
      <c r="Q147" s="16" t="s">
        <v>1041</v>
      </c>
      <c r="R147" s="15" t="s">
        <v>1042</v>
      </c>
      <c r="S147" s="14" t="s">
        <v>1002</v>
      </c>
      <c r="T147" s="14" t="s">
        <v>1043</v>
      </c>
      <c r="U147" s="14" t="s">
        <v>1002</v>
      </c>
      <c r="V147" s="15" t="s">
        <v>671</v>
      </c>
      <c r="W147" s="15" t="s">
        <v>671</v>
      </c>
      <c r="X147" s="20"/>
      <c r="Y147" s="1" t="s">
        <v>365</v>
      </c>
    </row>
    <row r="148" spans="1:25" ht="16.5">
      <c r="A148" s="14" t="s">
        <v>1044</v>
      </c>
      <c r="B148" s="14" t="s">
        <v>1045</v>
      </c>
      <c r="C148" s="15" t="s">
        <v>1046</v>
      </c>
      <c r="D148" s="34" t="s">
        <v>100</v>
      </c>
      <c r="E148" s="16" t="s">
        <v>696</v>
      </c>
      <c r="F148" s="16" t="s">
        <v>697</v>
      </c>
      <c r="G148" s="16" t="s">
        <v>215</v>
      </c>
      <c r="H148" s="14"/>
      <c r="I148" s="14"/>
      <c r="J148" s="15" t="s">
        <v>1046</v>
      </c>
      <c r="K148" s="17"/>
      <c r="L148" s="14" t="s">
        <v>51</v>
      </c>
      <c r="M148" s="14"/>
      <c r="N148" s="55"/>
      <c r="O148" s="18" t="s">
        <v>53</v>
      </c>
      <c r="P148" s="15" t="s">
        <v>1046</v>
      </c>
      <c r="Q148" s="16" t="str">
        <f t="shared" ref="Q148:Q155" ca="1" si="5">DATEDIF(P148, TODAY(), "Y") &amp; " years " &amp; DATEDIF(P148, TODAY(), "YM") &amp; " months"</f>
        <v>0 years 7 months</v>
      </c>
      <c r="R148" s="15" t="s">
        <v>1037</v>
      </c>
      <c r="S148" s="14" t="s">
        <v>874</v>
      </c>
      <c r="T148" s="14"/>
      <c r="U148" s="14"/>
      <c r="V148" s="15" t="s">
        <v>1047</v>
      </c>
      <c r="W148" s="15" t="s">
        <v>1048</v>
      </c>
      <c r="X148" s="20"/>
      <c r="Y148" s="1"/>
    </row>
    <row r="149" spans="1:25" ht="16.5">
      <c r="A149" s="14" t="s">
        <v>1049</v>
      </c>
      <c r="B149" s="14" t="s">
        <v>1050</v>
      </c>
      <c r="C149" s="15" t="s">
        <v>1046</v>
      </c>
      <c r="D149" s="56" t="s">
        <v>88</v>
      </c>
      <c r="E149" s="16" t="s">
        <v>696</v>
      </c>
      <c r="F149" s="16" t="s">
        <v>28</v>
      </c>
      <c r="G149" s="16" t="s">
        <v>50</v>
      </c>
      <c r="H149" s="14"/>
      <c r="I149" s="14"/>
      <c r="J149" s="15" t="s">
        <v>1046</v>
      </c>
      <c r="K149" s="17"/>
      <c r="L149" s="14" t="s">
        <v>51</v>
      </c>
      <c r="M149" s="14"/>
      <c r="N149" s="55" t="s">
        <v>200</v>
      </c>
      <c r="O149" s="18" t="s">
        <v>53</v>
      </c>
      <c r="P149" s="15" t="s">
        <v>1046</v>
      </c>
      <c r="Q149" s="16" t="str">
        <f t="shared" ca="1" si="5"/>
        <v>0 years 7 months</v>
      </c>
      <c r="R149" s="15" t="s">
        <v>1037</v>
      </c>
      <c r="S149" s="14" t="s">
        <v>874</v>
      </c>
      <c r="T149" s="14"/>
      <c r="U149" s="14"/>
      <c r="V149" s="15" t="s">
        <v>1047</v>
      </c>
      <c r="W149" s="15" t="s">
        <v>1048</v>
      </c>
      <c r="X149" s="20"/>
      <c r="Y149" s="1"/>
    </row>
    <row r="150" spans="1:25" ht="16.5">
      <c r="A150" s="16" t="s">
        <v>1051</v>
      </c>
      <c r="B150" s="16" t="s">
        <v>1052</v>
      </c>
      <c r="C150" s="15" t="s">
        <v>1053</v>
      </c>
      <c r="D150" s="16" t="s">
        <v>100</v>
      </c>
      <c r="E150" s="16" t="s">
        <v>199</v>
      </c>
      <c r="F150" s="16" t="s">
        <v>28</v>
      </c>
      <c r="G150" s="16" t="s">
        <v>50</v>
      </c>
      <c r="H150" s="57" t="s">
        <v>1054</v>
      </c>
      <c r="I150" s="16"/>
      <c r="J150" s="17">
        <v>45717</v>
      </c>
      <c r="K150" s="17"/>
      <c r="L150" s="16" t="s">
        <v>51</v>
      </c>
      <c r="M150" s="16"/>
      <c r="N150" s="18" t="s">
        <v>52</v>
      </c>
      <c r="O150" s="18" t="s">
        <v>53</v>
      </c>
      <c r="P150" s="19">
        <v>43500</v>
      </c>
      <c r="Q150" s="16" t="str">
        <f t="shared" ca="1" si="5"/>
        <v>6 years 3 months</v>
      </c>
      <c r="R150" s="16" t="s">
        <v>1055</v>
      </c>
      <c r="S150" s="16" t="s">
        <v>295</v>
      </c>
      <c r="T150" s="16" t="s">
        <v>1056</v>
      </c>
      <c r="U150" s="16" t="s">
        <v>57</v>
      </c>
      <c r="V150" s="15" t="s">
        <v>311</v>
      </c>
      <c r="W150" s="15" t="s">
        <v>59</v>
      </c>
      <c r="X150" s="20"/>
      <c r="Y150" s="1" t="s">
        <v>78</v>
      </c>
    </row>
    <row r="151" spans="1:25" ht="16.5">
      <c r="A151" s="14" t="s">
        <v>1057</v>
      </c>
      <c r="B151" s="14" t="s">
        <v>1058</v>
      </c>
      <c r="C151" s="15" t="s">
        <v>1059</v>
      </c>
      <c r="D151" s="16" t="s">
        <v>100</v>
      </c>
      <c r="E151" s="14" t="s">
        <v>464</v>
      </c>
      <c r="F151" s="16" t="s">
        <v>28</v>
      </c>
      <c r="G151" s="16" t="s">
        <v>1060</v>
      </c>
      <c r="H151" s="14"/>
      <c r="I151" s="14"/>
      <c r="J151" s="17"/>
      <c r="K151" s="17"/>
      <c r="L151" s="14" t="s">
        <v>51</v>
      </c>
      <c r="M151" s="14"/>
      <c r="N151" s="14" t="s">
        <v>1061</v>
      </c>
      <c r="O151" s="18" t="s">
        <v>53</v>
      </c>
      <c r="P151" s="19">
        <v>40259</v>
      </c>
      <c r="Q151" s="16" t="str">
        <f t="shared" ca="1" si="5"/>
        <v>15 years 2 months</v>
      </c>
      <c r="R151" s="14" t="s">
        <v>1062</v>
      </c>
      <c r="S151" s="14" t="s">
        <v>622</v>
      </c>
      <c r="T151" s="14" t="s">
        <v>1063</v>
      </c>
      <c r="U151" s="14" t="s">
        <v>161</v>
      </c>
      <c r="V151" s="15" t="s">
        <v>108</v>
      </c>
      <c r="W151" s="15" t="s">
        <v>109</v>
      </c>
      <c r="X151" s="20"/>
      <c r="Y151" s="1"/>
    </row>
    <row r="152" spans="1:25" ht="16.5">
      <c r="A152" s="14" t="s">
        <v>1064</v>
      </c>
      <c r="B152" s="14" t="s">
        <v>1065</v>
      </c>
      <c r="C152" s="15" t="s">
        <v>1066</v>
      </c>
      <c r="D152" s="58" t="s">
        <v>63</v>
      </c>
      <c r="E152" s="14" t="s">
        <v>1067</v>
      </c>
      <c r="F152" s="16" t="s">
        <v>28</v>
      </c>
      <c r="G152" s="16" t="s">
        <v>138</v>
      </c>
      <c r="H152" s="34" t="s">
        <v>1068</v>
      </c>
      <c r="I152" s="14"/>
      <c r="J152" s="17"/>
      <c r="K152" s="17"/>
      <c r="L152" s="14" t="s">
        <v>51</v>
      </c>
      <c r="M152" s="14"/>
      <c r="N152" s="55" t="s">
        <v>1069</v>
      </c>
      <c r="O152" s="55" t="s">
        <v>80</v>
      </c>
      <c r="P152" s="19">
        <v>42737</v>
      </c>
      <c r="Q152" s="16" t="str">
        <f t="shared" ca="1" si="5"/>
        <v>8 years 4 months</v>
      </c>
      <c r="R152" s="14" t="s">
        <v>691</v>
      </c>
      <c r="S152" s="14" t="s">
        <v>161</v>
      </c>
      <c r="T152" s="14" t="s">
        <v>1070</v>
      </c>
      <c r="U152" s="14" t="s">
        <v>161</v>
      </c>
      <c r="V152" s="15" t="s">
        <v>132</v>
      </c>
      <c r="W152" s="15" t="s">
        <v>132</v>
      </c>
      <c r="X152" s="20"/>
      <c r="Y152" s="1"/>
    </row>
    <row r="153" spans="1:25" ht="16.5">
      <c r="A153" s="14" t="s">
        <v>1071</v>
      </c>
      <c r="B153" s="14" t="s">
        <v>1072</v>
      </c>
      <c r="C153" s="15" t="s">
        <v>1073</v>
      </c>
      <c r="D153" s="16" t="s">
        <v>100</v>
      </c>
      <c r="E153" s="14" t="s">
        <v>49</v>
      </c>
      <c r="F153" s="16" t="s">
        <v>28</v>
      </c>
      <c r="G153" s="14" t="s">
        <v>1060</v>
      </c>
      <c r="H153" s="14"/>
      <c r="I153" s="14"/>
      <c r="J153" s="17"/>
      <c r="K153" s="17"/>
      <c r="L153" s="14" t="s">
        <v>51</v>
      </c>
      <c r="M153" s="14"/>
      <c r="N153" s="14" t="s">
        <v>1060</v>
      </c>
      <c r="O153" s="55" t="s">
        <v>53</v>
      </c>
      <c r="P153" s="19">
        <v>40831</v>
      </c>
      <c r="Q153" s="16" t="str">
        <f t="shared" ca="1" si="5"/>
        <v>13 years 7 months</v>
      </c>
      <c r="R153" s="14" t="s">
        <v>1074</v>
      </c>
      <c r="S153" s="14" t="s">
        <v>467</v>
      </c>
      <c r="T153" s="14" t="s">
        <v>1075</v>
      </c>
      <c r="U153" s="14"/>
      <c r="V153" s="15" t="s">
        <v>1076</v>
      </c>
      <c r="W153" s="15" t="s">
        <v>1048</v>
      </c>
      <c r="X153" s="20"/>
      <c r="Y153" s="1"/>
    </row>
    <row r="154" spans="1:25" ht="16.5">
      <c r="A154" s="59" t="s">
        <v>1077</v>
      </c>
      <c r="B154" s="14" t="s">
        <v>1078</v>
      </c>
      <c r="C154" s="17">
        <v>45632</v>
      </c>
      <c r="D154" s="16" t="s">
        <v>36</v>
      </c>
      <c r="E154" s="14" t="s">
        <v>1079</v>
      </c>
      <c r="F154" s="16" t="s">
        <v>214</v>
      </c>
      <c r="G154" s="16" t="s">
        <v>215</v>
      </c>
      <c r="H154" s="14"/>
      <c r="I154" s="14"/>
      <c r="J154" s="17">
        <v>45705</v>
      </c>
      <c r="K154" s="17"/>
      <c r="L154" s="14" t="s">
        <v>51</v>
      </c>
      <c r="M154" s="14"/>
      <c r="N154" s="16" t="s">
        <v>269</v>
      </c>
      <c r="O154" s="18" t="s">
        <v>53</v>
      </c>
      <c r="P154" s="19">
        <v>43325</v>
      </c>
      <c r="Q154" s="16" t="str">
        <f t="shared" ca="1" si="5"/>
        <v>6 years 9 months</v>
      </c>
      <c r="R154" s="14" t="s">
        <v>1080</v>
      </c>
      <c r="S154" s="14" t="s">
        <v>258</v>
      </c>
      <c r="T154" s="14" t="s">
        <v>1081</v>
      </c>
      <c r="U154" s="14" t="s">
        <v>629</v>
      </c>
      <c r="V154" s="15" t="s">
        <v>44</v>
      </c>
      <c r="W154" s="15" t="s">
        <v>44</v>
      </c>
      <c r="X154" s="36">
        <v>0.5</v>
      </c>
      <c r="Y154" s="1"/>
    </row>
    <row r="155" spans="1:25" ht="16.5">
      <c r="A155" s="59" t="s">
        <v>1082</v>
      </c>
      <c r="B155" s="14" t="s">
        <v>1083</v>
      </c>
      <c r="C155" s="17">
        <v>45644</v>
      </c>
      <c r="D155" s="16" t="s">
        <v>100</v>
      </c>
      <c r="E155" s="14" t="s">
        <v>49</v>
      </c>
      <c r="F155" s="16" t="s">
        <v>28</v>
      </c>
      <c r="G155" s="14" t="s">
        <v>1060</v>
      </c>
      <c r="H155" s="14"/>
      <c r="I155" s="14"/>
      <c r="J155" s="17"/>
      <c r="K155" s="17"/>
      <c r="L155" s="14" t="s">
        <v>51</v>
      </c>
      <c r="M155" s="14"/>
      <c r="N155" s="14" t="s">
        <v>1060</v>
      </c>
      <c r="O155" s="18" t="s">
        <v>53</v>
      </c>
      <c r="P155" s="19">
        <v>41218</v>
      </c>
      <c r="Q155" s="16" t="str">
        <f t="shared" ca="1" si="5"/>
        <v>12 years 6 months</v>
      </c>
      <c r="R155" s="14" t="s">
        <v>1084</v>
      </c>
      <c r="S155" s="14" t="s">
        <v>1085</v>
      </c>
      <c r="T155" s="14" t="s">
        <v>1086</v>
      </c>
      <c r="U155" s="14"/>
      <c r="V155" s="15" t="s">
        <v>1087</v>
      </c>
      <c r="W155" s="15" t="s">
        <v>1048</v>
      </c>
      <c r="X155" s="1"/>
      <c r="Y155" s="1"/>
    </row>
    <row r="156" spans="1:25" ht="16.5">
      <c r="A156" s="59" t="s">
        <v>1088</v>
      </c>
      <c r="B156" s="14" t="s">
        <v>1089</v>
      </c>
      <c r="C156" s="17">
        <v>45659</v>
      </c>
      <c r="D156" s="16" t="s">
        <v>662</v>
      </c>
      <c r="E156" s="16" t="s">
        <v>696</v>
      </c>
      <c r="F156" s="16" t="s">
        <v>28</v>
      </c>
      <c r="G156" s="16" t="s">
        <v>50</v>
      </c>
      <c r="H156" s="14"/>
      <c r="I156" s="14"/>
      <c r="J156" s="17">
        <v>45659</v>
      </c>
      <c r="K156" s="17"/>
      <c r="L156" s="14" t="s">
        <v>51</v>
      </c>
      <c r="M156" s="14"/>
      <c r="N156" s="14" t="s">
        <v>200</v>
      </c>
      <c r="O156" s="18" t="s">
        <v>53</v>
      </c>
      <c r="P156" s="19"/>
      <c r="Q156" s="16"/>
      <c r="R156" s="14" t="s">
        <v>1090</v>
      </c>
      <c r="S156" s="14"/>
      <c r="T156" s="14"/>
      <c r="U156" s="14"/>
      <c r="V156" s="15" t="s">
        <v>1090</v>
      </c>
      <c r="W156" s="15" t="s">
        <v>109</v>
      </c>
      <c r="X156" s="1"/>
      <c r="Y156" s="1"/>
    </row>
    <row r="157" spans="1:25" ht="16.5">
      <c r="A157" s="59" t="s">
        <v>1091</v>
      </c>
      <c r="B157" s="14" t="s">
        <v>1092</v>
      </c>
      <c r="C157" s="17">
        <v>45659</v>
      </c>
      <c r="D157" s="16" t="s">
        <v>662</v>
      </c>
      <c r="E157" s="16" t="s">
        <v>696</v>
      </c>
      <c r="F157" s="16" t="s">
        <v>697</v>
      </c>
      <c r="G157" s="16" t="s">
        <v>215</v>
      </c>
      <c r="H157" s="14"/>
      <c r="I157" s="14"/>
      <c r="J157" s="17">
        <v>45659</v>
      </c>
      <c r="K157" s="17"/>
      <c r="L157" s="14" t="s">
        <v>51</v>
      </c>
      <c r="M157" s="14"/>
      <c r="N157" s="14"/>
      <c r="O157" s="18" t="s">
        <v>53</v>
      </c>
      <c r="P157" s="19"/>
      <c r="Q157" s="16"/>
      <c r="R157" s="14" t="s">
        <v>1093</v>
      </c>
      <c r="S157" s="14"/>
      <c r="T157" s="14"/>
      <c r="U157" s="14"/>
      <c r="V157" s="15" t="s">
        <v>1094</v>
      </c>
      <c r="W157" s="15" t="s">
        <v>109</v>
      </c>
      <c r="X157" s="1"/>
      <c r="Y157" s="1"/>
    </row>
    <row r="158" spans="1:25" ht="16.5">
      <c r="A158" s="59" t="s">
        <v>1095</v>
      </c>
      <c r="B158" s="14" t="s">
        <v>1096</v>
      </c>
      <c r="C158" s="17">
        <v>45663</v>
      </c>
      <c r="D158" s="16" t="s">
        <v>662</v>
      </c>
      <c r="E158" s="16" t="s">
        <v>696</v>
      </c>
      <c r="F158" s="16" t="s">
        <v>697</v>
      </c>
      <c r="G158" s="16" t="s">
        <v>215</v>
      </c>
      <c r="H158" s="14"/>
      <c r="I158" s="14"/>
      <c r="J158" s="17">
        <v>45663</v>
      </c>
      <c r="K158" s="17"/>
      <c r="L158" s="14" t="s">
        <v>51</v>
      </c>
      <c r="M158" s="14"/>
      <c r="N158" s="14"/>
      <c r="O158" s="18" t="s">
        <v>80</v>
      </c>
      <c r="P158" s="19"/>
      <c r="Q158" s="16"/>
      <c r="R158" s="14" t="s">
        <v>1097</v>
      </c>
      <c r="S158" s="14"/>
      <c r="T158" s="14"/>
      <c r="U158" s="14"/>
      <c r="V158" s="15" t="s">
        <v>1098</v>
      </c>
      <c r="W158" s="15" t="s">
        <v>1099</v>
      </c>
      <c r="X158" s="1"/>
      <c r="Y158" s="1"/>
    </row>
    <row r="159" spans="1:25" ht="16.5">
      <c r="A159" s="59" t="s">
        <v>1100</v>
      </c>
      <c r="B159" s="14" t="s">
        <v>1101</v>
      </c>
      <c r="C159" s="17">
        <v>45663</v>
      </c>
      <c r="D159" s="16" t="s">
        <v>662</v>
      </c>
      <c r="E159" s="16" t="s">
        <v>696</v>
      </c>
      <c r="F159" s="16" t="s">
        <v>697</v>
      </c>
      <c r="G159" s="16" t="s">
        <v>215</v>
      </c>
      <c r="H159" s="14"/>
      <c r="I159" s="14"/>
      <c r="J159" s="17">
        <v>45663</v>
      </c>
      <c r="K159" s="17"/>
      <c r="L159" s="14" t="s">
        <v>51</v>
      </c>
      <c r="M159" s="14"/>
      <c r="N159" s="14"/>
      <c r="O159" s="18" t="s">
        <v>80</v>
      </c>
      <c r="P159" s="19"/>
      <c r="Q159" s="16"/>
      <c r="R159" s="14" t="s">
        <v>1102</v>
      </c>
      <c r="S159" s="14"/>
      <c r="T159" s="14"/>
      <c r="U159" s="14"/>
      <c r="V159" s="15" t="s">
        <v>1103</v>
      </c>
      <c r="W159" s="15" t="s">
        <v>1103</v>
      </c>
      <c r="X159" s="1"/>
      <c r="Y159" s="1"/>
    </row>
    <row r="160" spans="1:25" ht="16.5">
      <c r="A160" s="59" t="s">
        <v>1104</v>
      </c>
      <c r="B160" s="14" t="s">
        <v>1105</v>
      </c>
      <c r="C160" s="17">
        <v>45663</v>
      </c>
      <c r="D160" s="16" t="s">
        <v>662</v>
      </c>
      <c r="E160" s="16" t="s">
        <v>696</v>
      </c>
      <c r="F160" s="16" t="s">
        <v>697</v>
      </c>
      <c r="G160" s="16" t="s">
        <v>215</v>
      </c>
      <c r="H160" s="14"/>
      <c r="I160" s="14"/>
      <c r="J160" s="17">
        <v>45663</v>
      </c>
      <c r="K160" s="17"/>
      <c r="L160" s="14" t="s">
        <v>51</v>
      </c>
      <c r="M160" s="14"/>
      <c r="N160" s="14"/>
      <c r="O160" s="18" t="s">
        <v>80</v>
      </c>
      <c r="P160" s="19"/>
      <c r="Q160" s="16"/>
      <c r="R160" s="14" t="s">
        <v>1037</v>
      </c>
      <c r="S160" s="14"/>
      <c r="T160" s="14"/>
      <c r="U160" s="14"/>
      <c r="V160" s="15" t="s">
        <v>1103</v>
      </c>
      <c r="W160" s="15" t="s">
        <v>1103</v>
      </c>
      <c r="X160" s="1"/>
      <c r="Y160" s="1"/>
    </row>
    <row r="161" spans="1:25" ht="16.5">
      <c r="A161" s="59" t="s">
        <v>1106</v>
      </c>
      <c r="B161" s="14" t="s">
        <v>1107</v>
      </c>
      <c r="C161" s="17">
        <v>45663</v>
      </c>
      <c r="D161" s="16" t="s">
        <v>662</v>
      </c>
      <c r="E161" s="16" t="s">
        <v>696</v>
      </c>
      <c r="F161" s="16" t="s">
        <v>697</v>
      </c>
      <c r="G161" s="16" t="s">
        <v>215</v>
      </c>
      <c r="H161" s="14"/>
      <c r="I161" s="14"/>
      <c r="J161" s="17">
        <v>45663</v>
      </c>
      <c r="K161" s="17"/>
      <c r="L161" s="14" t="s">
        <v>51</v>
      </c>
      <c r="M161" s="14"/>
      <c r="N161" s="14"/>
      <c r="O161" s="18" t="s">
        <v>80</v>
      </c>
      <c r="P161" s="19"/>
      <c r="Q161" s="16"/>
      <c r="R161" s="14" t="s">
        <v>1108</v>
      </c>
      <c r="S161" s="14"/>
      <c r="T161" s="14"/>
      <c r="U161" s="14"/>
      <c r="V161" s="15" t="s">
        <v>1098</v>
      </c>
      <c r="W161" s="15" t="s">
        <v>1099</v>
      </c>
      <c r="X161" s="1"/>
      <c r="Y161" s="1"/>
    </row>
    <row r="162" spans="1:25" ht="16.5">
      <c r="A162" s="59" t="s">
        <v>1109</v>
      </c>
      <c r="B162" s="14" t="s">
        <v>1110</v>
      </c>
      <c r="C162" s="17">
        <v>45663</v>
      </c>
      <c r="D162" s="16" t="s">
        <v>662</v>
      </c>
      <c r="E162" s="16" t="s">
        <v>696</v>
      </c>
      <c r="F162" s="16" t="s">
        <v>697</v>
      </c>
      <c r="G162" s="16" t="s">
        <v>215</v>
      </c>
      <c r="H162" s="14"/>
      <c r="I162" s="14"/>
      <c r="J162" s="17">
        <v>45663</v>
      </c>
      <c r="K162" s="17"/>
      <c r="L162" s="14" t="s">
        <v>51</v>
      </c>
      <c r="M162" s="14"/>
      <c r="N162" s="14"/>
      <c r="O162" s="18" t="s">
        <v>80</v>
      </c>
      <c r="P162" s="19"/>
      <c r="Q162" s="16"/>
      <c r="R162" s="14" t="s">
        <v>1111</v>
      </c>
      <c r="S162" s="14"/>
      <c r="T162" s="14"/>
      <c r="U162" s="14"/>
      <c r="V162" s="15" t="s">
        <v>1094</v>
      </c>
      <c r="W162" s="15" t="s">
        <v>109</v>
      </c>
      <c r="X162" s="1"/>
      <c r="Y162" s="1"/>
    </row>
    <row r="163" spans="1:25" ht="16.5">
      <c r="A163" s="59" t="s">
        <v>1112</v>
      </c>
      <c r="B163" s="14" t="s">
        <v>1113</v>
      </c>
      <c r="C163" s="17">
        <v>45663</v>
      </c>
      <c r="D163" s="16" t="s">
        <v>662</v>
      </c>
      <c r="E163" s="16" t="s">
        <v>696</v>
      </c>
      <c r="F163" s="16" t="s">
        <v>697</v>
      </c>
      <c r="G163" s="16" t="s">
        <v>215</v>
      </c>
      <c r="H163" s="14"/>
      <c r="I163" s="14"/>
      <c r="J163" s="17">
        <v>45663</v>
      </c>
      <c r="K163" s="17"/>
      <c r="L163" s="14" t="s">
        <v>51</v>
      </c>
      <c r="M163" s="14"/>
      <c r="N163" s="14"/>
      <c r="O163" s="18" t="s">
        <v>80</v>
      </c>
      <c r="P163" s="19"/>
      <c r="Q163" s="16"/>
      <c r="R163" s="14" t="s">
        <v>307</v>
      </c>
      <c r="S163" s="14"/>
      <c r="T163" s="14"/>
      <c r="U163" s="14"/>
      <c r="V163" s="15" t="s">
        <v>1098</v>
      </c>
      <c r="W163" s="15" t="s">
        <v>1099</v>
      </c>
      <c r="X163" s="1"/>
      <c r="Y163" s="1"/>
    </row>
    <row r="164" spans="1:25" ht="16.5">
      <c r="A164" s="59" t="s">
        <v>1114</v>
      </c>
      <c r="B164" s="14" t="s">
        <v>1115</v>
      </c>
      <c r="C164" s="17">
        <v>45663</v>
      </c>
      <c r="D164" s="16" t="s">
        <v>662</v>
      </c>
      <c r="E164" s="16" t="s">
        <v>696</v>
      </c>
      <c r="F164" s="16" t="s">
        <v>697</v>
      </c>
      <c r="G164" s="16" t="s">
        <v>215</v>
      </c>
      <c r="H164" s="14"/>
      <c r="I164" s="14"/>
      <c r="J164" s="17">
        <v>45663</v>
      </c>
      <c r="K164" s="17"/>
      <c r="L164" s="14" t="s">
        <v>51</v>
      </c>
      <c r="M164" s="14"/>
      <c r="N164" s="14"/>
      <c r="O164" s="18" t="s">
        <v>80</v>
      </c>
      <c r="P164" s="19"/>
      <c r="Q164" s="16"/>
      <c r="R164" s="14" t="s">
        <v>1116</v>
      </c>
      <c r="S164" s="14"/>
      <c r="T164" s="14"/>
      <c r="U164" s="14"/>
      <c r="V164" s="15" t="s">
        <v>1098</v>
      </c>
      <c r="W164" s="15" t="s">
        <v>1099</v>
      </c>
      <c r="X164" s="1"/>
      <c r="Y164" s="1"/>
    </row>
    <row r="165" spans="1:25" ht="16.5">
      <c r="A165" s="59" t="s">
        <v>1117</v>
      </c>
      <c r="B165" s="14" t="s">
        <v>1118</v>
      </c>
      <c r="C165" s="17">
        <v>45663</v>
      </c>
      <c r="D165" s="16" t="s">
        <v>662</v>
      </c>
      <c r="E165" s="16" t="s">
        <v>696</v>
      </c>
      <c r="F165" s="16" t="s">
        <v>697</v>
      </c>
      <c r="G165" s="16" t="s">
        <v>215</v>
      </c>
      <c r="H165" s="14"/>
      <c r="I165" s="14"/>
      <c r="J165" s="17">
        <v>45663</v>
      </c>
      <c r="K165" s="17"/>
      <c r="L165" s="14" t="s">
        <v>51</v>
      </c>
      <c r="M165" s="14"/>
      <c r="N165" s="14"/>
      <c r="O165" s="18" t="s">
        <v>80</v>
      </c>
      <c r="P165" s="19"/>
      <c r="Q165" s="16"/>
      <c r="R165" s="14" t="s">
        <v>1119</v>
      </c>
      <c r="S165" s="14"/>
      <c r="T165" s="14"/>
      <c r="U165" s="14"/>
      <c r="V165" s="15" t="s">
        <v>1094</v>
      </c>
      <c r="W165" s="15" t="s">
        <v>109</v>
      </c>
      <c r="X165" s="1"/>
      <c r="Y165" s="1"/>
    </row>
    <row r="166" spans="1:25" ht="16.5">
      <c r="A166" s="59" t="s">
        <v>1120</v>
      </c>
      <c r="B166" s="14" t="s">
        <v>1121</v>
      </c>
      <c r="C166" s="17">
        <v>45663</v>
      </c>
      <c r="D166" s="16" t="s">
        <v>662</v>
      </c>
      <c r="E166" s="16" t="s">
        <v>696</v>
      </c>
      <c r="F166" s="16" t="s">
        <v>697</v>
      </c>
      <c r="G166" s="16" t="s">
        <v>215</v>
      </c>
      <c r="H166" s="14"/>
      <c r="I166" s="14"/>
      <c r="J166" s="17">
        <v>45663</v>
      </c>
      <c r="K166" s="17"/>
      <c r="L166" s="14" t="s">
        <v>51</v>
      </c>
      <c r="M166" s="14"/>
      <c r="N166" s="14"/>
      <c r="O166" s="18" t="s">
        <v>80</v>
      </c>
      <c r="P166" s="19"/>
      <c r="Q166" s="16"/>
      <c r="R166" s="14" t="s">
        <v>307</v>
      </c>
      <c r="S166" s="14"/>
      <c r="T166" s="14"/>
      <c r="U166" s="14"/>
      <c r="V166" s="15" t="s">
        <v>1098</v>
      </c>
      <c r="W166" s="15" t="s">
        <v>1099</v>
      </c>
      <c r="X166" s="1"/>
      <c r="Y166" s="1"/>
    </row>
    <row r="167" spans="1:25" ht="16.5">
      <c r="A167" s="59" t="s">
        <v>1122</v>
      </c>
      <c r="B167" s="14" t="s">
        <v>1123</v>
      </c>
      <c r="C167" s="17">
        <v>45663</v>
      </c>
      <c r="D167" s="16" t="s">
        <v>662</v>
      </c>
      <c r="E167" s="16" t="s">
        <v>696</v>
      </c>
      <c r="F167" s="16" t="s">
        <v>697</v>
      </c>
      <c r="G167" s="16" t="s">
        <v>215</v>
      </c>
      <c r="H167" s="14"/>
      <c r="I167" s="14"/>
      <c r="J167" s="17">
        <v>45663</v>
      </c>
      <c r="K167" s="17"/>
      <c r="L167" s="14" t="s">
        <v>51</v>
      </c>
      <c r="M167" s="14"/>
      <c r="N167" s="14"/>
      <c r="O167" s="18" t="s">
        <v>80</v>
      </c>
      <c r="P167" s="19"/>
      <c r="Q167" s="16"/>
      <c r="R167" s="14" t="s">
        <v>1094</v>
      </c>
      <c r="S167" s="14"/>
      <c r="T167" s="14"/>
      <c r="U167" s="14"/>
      <c r="V167" s="15" t="s">
        <v>1094</v>
      </c>
      <c r="W167" s="15" t="s">
        <v>109</v>
      </c>
      <c r="X167" s="1"/>
      <c r="Y167" s="1"/>
    </row>
    <row r="168" spans="1:25" ht="16.5">
      <c r="A168" s="59" t="s">
        <v>1124</v>
      </c>
      <c r="B168" s="14" t="s">
        <v>1125</v>
      </c>
      <c r="C168" s="17">
        <v>45663</v>
      </c>
      <c r="D168" s="16" t="s">
        <v>662</v>
      </c>
      <c r="E168" s="16" t="s">
        <v>696</v>
      </c>
      <c r="F168" s="16" t="s">
        <v>697</v>
      </c>
      <c r="G168" s="16" t="s">
        <v>215</v>
      </c>
      <c r="H168" s="14"/>
      <c r="I168" s="14"/>
      <c r="J168" s="17">
        <v>45663</v>
      </c>
      <c r="K168" s="17"/>
      <c r="L168" s="14" t="s">
        <v>51</v>
      </c>
      <c r="M168" s="14"/>
      <c r="N168" s="14"/>
      <c r="O168" s="18" t="s">
        <v>80</v>
      </c>
      <c r="P168" s="19"/>
      <c r="Q168" s="16"/>
      <c r="R168" s="14" t="s">
        <v>1119</v>
      </c>
      <c r="S168" s="14"/>
      <c r="T168" s="14"/>
      <c r="U168" s="14"/>
      <c r="V168" s="15" t="s">
        <v>1119</v>
      </c>
      <c r="W168" s="15" t="s">
        <v>109</v>
      </c>
      <c r="X168" s="1"/>
      <c r="Y168" s="1"/>
    </row>
    <row r="169" spans="1:25" ht="16.5">
      <c r="A169" s="59" t="s">
        <v>1126</v>
      </c>
      <c r="B169" s="14" t="s">
        <v>1127</v>
      </c>
      <c r="C169" s="17">
        <v>45663</v>
      </c>
      <c r="D169" s="16" t="s">
        <v>662</v>
      </c>
      <c r="E169" s="16" t="s">
        <v>696</v>
      </c>
      <c r="F169" s="16" t="s">
        <v>697</v>
      </c>
      <c r="G169" s="16" t="s">
        <v>215</v>
      </c>
      <c r="H169" s="14"/>
      <c r="I169" s="14"/>
      <c r="J169" s="17">
        <v>45663</v>
      </c>
      <c r="K169" s="17"/>
      <c r="L169" s="14" t="s">
        <v>51</v>
      </c>
      <c r="M169" s="14"/>
      <c r="N169" s="14"/>
      <c r="O169" s="18" t="s">
        <v>80</v>
      </c>
      <c r="P169" s="19"/>
      <c r="Q169" s="16"/>
      <c r="R169" s="14" t="s">
        <v>1128</v>
      </c>
      <c r="S169" s="14"/>
      <c r="T169" s="14"/>
      <c r="U169" s="14"/>
      <c r="V169" s="15" t="s">
        <v>1128</v>
      </c>
      <c r="W169" s="15" t="s">
        <v>1103</v>
      </c>
      <c r="X169" s="1"/>
      <c r="Y169" s="1"/>
    </row>
    <row r="170" spans="1:25" ht="16.5">
      <c r="A170" s="59" t="s">
        <v>1129</v>
      </c>
      <c r="B170" s="14" t="s">
        <v>1130</v>
      </c>
      <c r="C170" s="17">
        <v>45673</v>
      </c>
      <c r="D170" s="16" t="s">
        <v>88</v>
      </c>
      <c r="E170" s="16" t="s">
        <v>696</v>
      </c>
      <c r="F170" s="16" t="s">
        <v>28</v>
      </c>
      <c r="G170" s="16" t="s">
        <v>50</v>
      </c>
      <c r="H170" s="14"/>
      <c r="I170" s="14"/>
      <c r="J170" s="17">
        <v>45673</v>
      </c>
      <c r="K170" s="17"/>
      <c r="L170" s="14" t="s">
        <v>51</v>
      </c>
      <c r="M170" s="14"/>
      <c r="N170" s="14" t="s">
        <v>200</v>
      </c>
      <c r="O170" s="18" t="s">
        <v>53</v>
      </c>
      <c r="P170" s="19"/>
      <c r="Q170" s="16"/>
      <c r="R170" s="14" t="s">
        <v>1131</v>
      </c>
      <c r="S170" s="14"/>
      <c r="T170" s="14"/>
      <c r="U170" s="60" t="s">
        <v>72</v>
      </c>
      <c r="V170" s="15" t="s">
        <v>1128</v>
      </c>
      <c r="W170" s="15" t="s">
        <v>1103</v>
      </c>
      <c r="X170" s="1"/>
      <c r="Y170" s="1"/>
    </row>
    <row r="171" spans="1:25" ht="16.5">
      <c r="A171" s="59" t="s">
        <v>1132</v>
      </c>
      <c r="B171" s="14" t="s">
        <v>1133</v>
      </c>
      <c r="C171" s="17">
        <v>45681</v>
      </c>
      <c r="D171" s="16" t="s">
        <v>662</v>
      </c>
      <c r="E171" s="16" t="s">
        <v>696</v>
      </c>
      <c r="F171" s="16" t="s">
        <v>697</v>
      </c>
      <c r="G171" s="16" t="s">
        <v>215</v>
      </c>
      <c r="H171" s="14"/>
      <c r="I171" s="14"/>
      <c r="J171" s="17">
        <v>45681</v>
      </c>
      <c r="K171" s="17"/>
      <c r="L171" s="14" t="s">
        <v>51</v>
      </c>
      <c r="M171" s="14"/>
      <c r="N171" s="14"/>
      <c r="O171" s="18" t="s">
        <v>53</v>
      </c>
      <c r="P171" s="19"/>
      <c r="Q171" s="16"/>
      <c r="R171" s="14"/>
      <c r="S171" s="14"/>
      <c r="T171" s="14"/>
      <c r="U171" s="14"/>
      <c r="V171" s="14"/>
      <c r="W171" s="14"/>
      <c r="X171" s="1"/>
      <c r="Y171" s="1"/>
    </row>
    <row r="172" spans="1:25" ht="16.5">
      <c r="A172" s="59" t="s">
        <v>1134</v>
      </c>
      <c r="B172" s="14" t="s">
        <v>1135</v>
      </c>
      <c r="C172" s="17">
        <v>45719</v>
      </c>
      <c r="D172" s="16" t="s">
        <v>76</v>
      </c>
      <c r="E172" s="14" t="s">
        <v>221</v>
      </c>
      <c r="F172" s="16" t="s">
        <v>28</v>
      </c>
      <c r="G172" s="16" t="s">
        <v>38</v>
      </c>
      <c r="H172" s="14"/>
      <c r="I172" s="14"/>
      <c r="J172" s="17"/>
      <c r="K172" s="17"/>
      <c r="L172" s="14" t="s">
        <v>51</v>
      </c>
      <c r="M172" s="14"/>
      <c r="N172" s="14" t="s">
        <v>1136</v>
      </c>
      <c r="O172" s="18" t="s">
        <v>80</v>
      </c>
      <c r="P172" s="19"/>
      <c r="Q172" s="16"/>
      <c r="R172" s="14"/>
      <c r="S172" s="14"/>
      <c r="T172" s="14"/>
      <c r="U172" s="14"/>
      <c r="V172" s="14"/>
      <c r="W172" s="14"/>
      <c r="X172" s="1"/>
      <c r="Y172" s="1" t="s">
        <v>365</v>
      </c>
    </row>
    <row r="173" spans="1:25" ht="16.5">
      <c r="A173" s="16" t="s">
        <v>1137</v>
      </c>
      <c r="B173" s="16" t="s">
        <v>1138</v>
      </c>
      <c r="C173" s="15" t="s">
        <v>1139</v>
      </c>
      <c r="D173" s="16" t="s">
        <v>76</v>
      </c>
      <c r="E173" s="16" t="s">
        <v>77</v>
      </c>
      <c r="F173" s="16" t="s">
        <v>28</v>
      </c>
      <c r="G173" s="16" t="s">
        <v>38</v>
      </c>
      <c r="H173" s="16"/>
      <c r="I173" s="16"/>
      <c r="J173" s="17"/>
      <c r="K173" s="17"/>
      <c r="L173" s="16" t="s">
        <v>51</v>
      </c>
      <c r="M173" s="16"/>
      <c r="N173" s="18" t="s">
        <v>79</v>
      </c>
      <c r="O173" s="61" t="s">
        <v>53</v>
      </c>
      <c r="P173" s="19">
        <v>43313</v>
      </c>
      <c r="Q173" s="16" t="str">
        <f t="shared" ref="Q173:Q185" ca="1" si="6">DATEDIF(P173, TODAY(), "Y") &amp; " years " &amp; DATEDIF(P173, TODAY(), "YM") &amp; " months"</f>
        <v>6 years 9 months</v>
      </c>
      <c r="R173" s="62" t="s">
        <v>1140</v>
      </c>
      <c r="S173" s="16" t="s">
        <v>1141</v>
      </c>
      <c r="T173" s="62" t="s">
        <v>1142</v>
      </c>
      <c r="U173" s="16"/>
      <c r="V173" s="15" t="s">
        <v>311</v>
      </c>
      <c r="W173" s="15" t="s">
        <v>59</v>
      </c>
      <c r="X173" s="20"/>
      <c r="Y173" s="1" t="s">
        <v>78</v>
      </c>
    </row>
    <row r="174" spans="1:25" ht="16.5">
      <c r="A174" s="59" t="s">
        <v>1143</v>
      </c>
      <c r="B174" s="14" t="s">
        <v>1144</v>
      </c>
      <c r="C174" s="17">
        <v>45677</v>
      </c>
      <c r="D174" s="16" t="s">
        <v>100</v>
      </c>
      <c r="E174" s="16" t="s">
        <v>1145</v>
      </c>
      <c r="F174" s="16" t="s">
        <v>28</v>
      </c>
      <c r="G174" s="14" t="s">
        <v>910</v>
      </c>
      <c r="H174" s="14" t="s">
        <v>1146</v>
      </c>
      <c r="I174" s="14"/>
      <c r="J174" s="17"/>
      <c r="K174" s="17"/>
      <c r="L174" s="14" t="s">
        <v>30</v>
      </c>
      <c r="M174" s="14"/>
      <c r="N174" s="14" t="s">
        <v>1147</v>
      </c>
      <c r="O174" s="18" t="s">
        <v>1148</v>
      </c>
      <c r="P174" s="19">
        <v>42583</v>
      </c>
      <c r="Q174" s="63" t="str">
        <f t="shared" ca="1" si="6"/>
        <v>8 years 9 months</v>
      </c>
      <c r="R174" s="51" t="s">
        <v>1149</v>
      </c>
      <c r="S174" s="64" t="s">
        <v>622</v>
      </c>
      <c r="T174" s="51" t="s">
        <v>1150</v>
      </c>
      <c r="U174" s="65"/>
      <c r="V174" s="15" t="s">
        <v>311</v>
      </c>
      <c r="W174" s="15" t="s">
        <v>59</v>
      </c>
      <c r="X174" s="1"/>
      <c r="Y174" s="1"/>
    </row>
    <row r="175" spans="1:25" ht="16.5">
      <c r="A175" s="59" t="s">
        <v>1151</v>
      </c>
      <c r="B175" s="14" t="s">
        <v>1152</v>
      </c>
      <c r="C175" s="17">
        <v>45677</v>
      </c>
      <c r="D175" s="16" t="s">
        <v>100</v>
      </c>
      <c r="E175" s="14" t="s">
        <v>1145</v>
      </c>
      <c r="F175" s="16" t="s">
        <v>28</v>
      </c>
      <c r="G175" s="14" t="s">
        <v>910</v>
      </c>
      <c r="H175" s="14" t="s">
        <v>1146</v>
      </c>
      <c r="I175" s="14"/>
      <c r="J175" s="17"/>
      <c r="K175" s="17"/>
      <c r="L175" s="14" t="s">
        <v>30</v>
      </c>
      <c r="M175" s="14"/>
      <c r="N175" s="14" t="s">
        <v>1147</v>
      </c>
      <c r="O175" s="18" t="s">
        <v>1148</v>
      </c>
      <c r="P175" s="19">
        <v>41071</v>
      </c>
      <c r="Q175" s="63" t="str">
        <f t="shared" ca="1" si="6"/>
        <v>12 years 11 months</v>
      </c>
      <c r="R175" s="51" t="s">
        <v>1153</v>
      </c>
      <c r="S175" s="64" t="s">
        <v>1154</v>
      </c>
      <c r="T175" s="51" t="s">
        <v>1155</v>
      </c>
      <c r="U175" s="65"/>
      <c r="V175" s="15" t="s">
        <v>1156</v>
      </c>
      <c r="W175" s="15" t="s">
        <v>109</v>
      </c>
      <c r="X175" s="1"/>
      <c r="Y175" s="1"/>
    </row>
    <row r="176" spans="1:25" ht="16.5">
      <c r="A176" s="59" t="s">
        <v>1157</v>
      </c>
      <c r="B176" s="14" t="s">
        <v>1158</v>
      </c>
      <c r="C176" s="17">
        <v>45677</v>
      </c>
      <c r="D176" s="16" t="s">
        <v>48</v>
      </c>
      <c r="E176" s="14" t="s">
        <v>1159</v>
      </c>
      <c r="F176" s="16" t="s">
        <v>28</v>
      </c>
      <c r="G176" s="14" t="s">
        <v>910</v>
      </c>
      <c r="H176" s="14" t="s">
        <v>1146</v>
      </c>
      <c r="I176" s="14"/>
      <c r="J176" s="17"/>
      <c r="K176" s="17"/>
      <c r="L176" s="14" t="s">
        <v>30</v>
      </c>
      <c r="M176" s="14"/>
      <c r="N176" s="14" t="s">
        <v>1147</v>
      </c>
      <c r="O176" s="18" t="s">
        <v>1148</v>
      </c>
      <c r="P176" s="19">
        <v>41000</v>
      </c>
      <c r="Q176" s="16" t="str">
        <f t="shared" ca="1" si="6"/>
        <v>13 years 1 months</v>
      </c>
      <c r="R176" s="51" t="s">
        <v>1160</v>
      </c>
      <c r="S176" s="14" t="s">
        <v>1154</v>
      </c>
      <c r="T176" s="51" t="s">
        <v>1161</v>
      </c>
      <c r="U176" s="14"/>
      <c r="V176" s="14"/>
      <c r="W176" s="14"/>
      <c r="X176" s="1"/>
      <c r="Y176" s="1"/>
    </row>
    <row r="177" spans="1:25" ht="180.75">
      <c r="A177" s="16" t="s">
        <v>1162</v>
      </c>
      <c r="B177" s="16" t="s">
        <v>1163</v>
      </c>
      <c r="C177" s="15" t="s">
        <v>1164</v>
      </c>
      <c r="D177" s="16" t="s">
        <v>1165</v>
      </c>
      <c r="E177" s="16" t="s">
        <v>597</v>
      </c>
      <c r="F177" s="16" t="s">
        <v>214</v>
      </c>
      <c r="G177" s="16" t="s">
        <v>215</v>
      </c>
      <c r="H177" s="38" t="s">
        <v>1166</v>
      </c>
      <c r="I177" s="16" t="s">
        <v>1167</v>
      </c>
      <c r="J177" s="17">
        <v>45748</v>
      </c>
      <c r="K177" s="17"/>
      <c r="L177" s="16" t="s">
        <v>30</v>
      </c>
      <c r="M177" s="16"/>
      <c r="N177" s="18" t="s">
        <v>409</v>
      </c>
      <c r="O177" s="18" t="s">
        <v>32</v>
      </c>
      <c r="P177" s="19">
        <v>43694</v>
      </c>
      <c r="Q177" s="16" t="str">
        <f t="shared" ca="1" si="6"/>
        <v>5 years 9 months</v>
      </c>
      <c r="R177" s="16" t="s">
        <v>1168</v>
      </c>
      <c r="S177" s="16" t="s">
        <v>295</v>
      </c>
      <c r="T177" s="16" t="s">
        <v>1169</v>
      </c>
      <c r="U177" s="16" t="s">
        <v>153</v>
      </c>
      <c r="V177" s="15" t="s">
        <v>990</v>
      </c>
      <c r="W177" s="15" t="s">
        <v>96</v>
      </c>
      <c r="X177" s="20"/>
      <c r="Y177" s="1"/>
    </row>
    <row r="178" spans="1:25" ht="16.5">
      <c r="A178" s="16" t="s">
        <v>1170</v>
      </c>
      <c r="B178" s="16" t="s">
        <v>1165</v>
      </c>
      <c r="C178" s="15" t="s">
        <v>1171</v>
      </c>
      <c r="D178" s="16" t="s">
        <v>48</v>
      </c>
      <c r="E178" s="16" t="s">
        <v>1172</v>
      </c>
      <c r="F178" s="16" t="s">
        <v>28</v>
      </c>
      <c r="G178" s="16" t="s">
        <v>38</v>
      </c>
      <c r="H178" s="16"/>
      <c r="I178" s="16"/>
      <c r="J178" s="17"/>
      <c r="K178" s="17"/>
      <c r="L178" s="16" t="s">
        <v>30</v>
      </c>
      <c r="M178" s="16" t="s">
        <v>1173</v>
      </c>
      <c r="N178" s="18" t="s">
        <v>91</v>
      </c>
      <c r="O178" s="18" t="s">
        <v>32</v>
      </c>
      <c r="P178" s="19">
        <v>40513</v>
      </c>
      <c r="Q178" s="16" t="str">
        <f t="shared" ca="1" si="6"/>
        <v>14 years 5 months</v>
      </c>
      <c r="R178" s="16" t="s">
        <v>1174</v>
      </c>
      <c r="S178" s="14" t="s">
        <v>467</v>
      </c>
      <c r="T178" s="66" t="s">
        <v>1175</v>
      </c>
      <c r="U178" s="14" t="s">
        <v>467</v>
      </c>
      <c r="V178" s="15" t="s">
        <v>990</v>
      </c>
      <c r="W178" s="15" t="s">
        <v>96</v>
      </c>
      <c r="X178" s="20"/>
      <c r="Y178" s="1" t="s">
        <v>1173</v>
      </c>
    </row>
    <row r="179" spans="1:25" ht="16.5">
      <c r="A179" s="16" t="s">
        <v>1176</v>
      </c>
      <c r="B179" s="16" t="s">
        <v>206</v>
      </c>
      <c r="C179" s="15" t="s">
        <v>1177</v>
      </c>
      <c r="D179" s="16" t="s">
        <v>63</v>
      </c>
      <c r="E179" s="46" t="s">
        <v>165</v>
      </c>
      <c r="F179" s="16" t="s">
        <v>28</v>
      </c>
      <c r="G179" s="16" t="s">
        <v>101</v>
      </c>
      <c r="H179" s="34" t="s">
        <v>1178</v>
      </c>
      <c r="I179" s="16"/>
      <c r="J179" s="17">
        <v>45748</v>
      </c>
      <c r="K179" s="17">
        <v>45755</v>
      </c>
      <c r="L179" s="16" t="s">
        <v>30</v>
      </c>
      <c r="M179" s="16"/>
      <c r="N179" s="18" t="s">
        <v>141</v>
      </c>
      <c r="O179" s="18" t="s">
        <v>32</v>
      </c>
      <c r="P179" s="19">
        <v>41502</v>
      </c>
      <c r="Q179" s="16" t="str">
        <f t="shared" ca="1" si="6"/>
        <v>11 years 9 months</v>
      </c>
      <c r="R179" s="16" t="s">
        <v>1179</v>
      </c>
      <c r="S179" s="16" t="s">
        <v>346</v>
      </c>
      <c r="T179" s="16" t="s">
        <v>1180</v>
      </c>
      <c r="U179" s="16"/>
      <c r="V179" s="15" t="s">
        <v>72</v>
      </c>
      <c r="W179" s="15" t="s">
        <v>72</v>
      </c>
      <c r="X179" s="20"/>
      <c r="Y179" s="1"/>
    </row>
    <row r="180" spans="1:25" ht="16.5">
      <c r="A180" s="16" t="s">
        <v>1181</v>
      </c>
      <c r="B180" s="16" t="s">
        <v>1182</v>
      </c>
      <c r="C180" s="15" t="s">
        <v>1183</v>
      </c>
      <c r="D180" s="16" t="s">
        <v>1184</v>
      </c>
      <c r="E180" s="16" t="s">
        <v>37</v>
      </c>
      <c r="F180" s="16" t="s">
        <v>28</v>
      </c>
      <c r="G180" s="16" t="s">
        <v>1185</v>
      </c>
      <c r="H180" s="16"/>
      <c r="I180" s="16"/>
      <c r="J180" s="17"/>
      <c r="K180" s="17"/>
      <c r="L180" s="16" t="s">
        <v>30</v>
      </c>
      <c r="M180" s="16"/>
      <c r="N180" s="18" t="s">
        <v>1185</v>
      </c>
      <c r="O180" s="18" t="s">
        <v>32</v>
      </c>
      <c r="P180" s="19">
        <v>40148</v>
      </c>
      <c r="Q180" s="16" t="str">
        <f t="shared" ca="1" si="6"/>
        <v>15 years 5 months</v>
      </c>
      <c r="R180" s="16" t="s">
        <v>1186</v>
      </c>
      <c r="S180" s="16" t="s">
        <v>872</v>
      </c>
      <c r="T180" s="16"/>
      <c r="U180" s="16"/>
      <c r="V180" s="15" t="s">
        <v>990</v>
      </c>
      <c r="W180" s="15" t="s">
        <v>96</v>
      </c>
      <c r="X180" s="20"/>
      <c r="Y180" s="1"/>
    </row>
    <row r="181" spans="1:25" ht="16.5">
      <c r="A181" s="16" t="s">
        <v>1187</v>
      </c>
      <c r="B181" s="16" t="s">
        <v>1188</v>
      </c>
      <c r="C181" s="15" t="s">
        <v>1189</v>
      </c>
      <c r="D181" s="16" t="s">
        <v>48</v>
      </c>
      <c r="E181" s="16" t="s">
        <v>148</v>
      </c>
      <c r="F181" s="16" t="s">
        <v>28</v>
      </c>
      <c r="G181" s="16" t="s">
        <v>38</v>
      </c>
      <c r="H181" s="16"/>
      <c r="I181" s="16"/>
      <c r="J181" s="17"/>
      <c r="K181" s="17"/>
      <c r="L181" s="16" t="s">
        <v>30</v>
      </c>
      <c r="M181" s="16" t="s">
        <v>1173</v>
      </c>
      <c r="N181" s="18" t="s">
        <v>157</v>
      </c>
      <c r="O181" s="18" t="s">
        <v>32</v>
      </c>
      <c r="P181" s="19">
        <v>41730</v>
      </c>
      <c r="Q181" s="16" t="str">
        <f t="shared" ca="1" si="6"/>
        <v>11 years 1 months</v>
      </c>
      <c r="R181" s="16" t="s">
        <v>1190</v>
      </c>
      <c r="S181" s="14" t="s">
        <v>467</v>
      </c>
      <c r="T181" s="16" t="s">
        <v>1191</v>
      </c>
      <c r="U181" s="14" t="s">
        <v>467</v>
      </c>
      <c r="V181" s="15" t="s">
        <v>1192</v>
      </c>
      <c r="W181" s="15" t="s">
        <v>59</v>
      </c>
      <c r="X181" s="20"/>
      <c r="Y181" s="1" t="s">
        <v>1173</v>
      </c>
    </row>
    <row r="182" spans="1:25" ht="16.5">
      <c r="A182" s="16" t="s">
        <v>1193</v>
      </c>
      <c r="B182" s="16" t="s">
        <v>1194</v>
      </c>
      <c r="C182" s="15" t="s">
        <v>1195</v>
      </c>
      <c r="D182" s="16" t="s">
        <v>100</v>
      </c>
      <c r="E182" s="16" t="s">
        <v>696</v>
      </c>
      <c r="F182" s="16" t="s">
        <v>214</v>
      </c>
      <c r="G182" s="16" t="s">
        <v>215</v>
      </c>
      <c r="H182" s="34" t="s">
        <v>1196</v>
      </c>
      <c r="I182" s="16"/>
      <c r="J182" s="17">
        <v>45748</v>
      </c>
      <c r="K182" s="17"/>
      <c r="L182" s="16" t="s">
        <v>30</v>
      </c>
      <c r="M182" s="16"/>
      <c r="N182" s="18" t="s">
        <v>141</v>
      </c>
      <c r="O182" s="18" t="s">
        <v>32</v>
      </c>
      <c r="P182" s="19">
        <v>45292</v>
      </c>
      <c r="Q182" s="16" t="str">
        <f t="shared" ca="1" si="6"/>
        <v>1 years 4 months</v>
      </c>
      <c r="R182" s="16" t="s">
        <v>1197</v>
      </c>
      <c r="S182" s="16" t="s">
        <v>1198</v>
      </c>
      <c r="T182" s="16" t="s">
        <v>1199</v>
      </c>
      <c r="U182" s="16" t="s">
        <v>1198</v>
      </c>
      <c r="V182" s="15" t="s">
        <v>195</v>
      </c>
      <c r="W182" s="15" t="s">
        <v>59</v>
      </c>
      <c r="X182" s="20"/>
      <c r="Y182" s="1"/>
    </row>
    <row r="183" spans="1:25" ht="256.5">
      <c r="A183" s="16" t="s">
        <v>1200</v>
      </c>
      <c r="B183" s="16" t="s">
        <v>1201</v>
      </c>
      <c r="C183" s="15" t="s">
        <v>1202</v>
      </c>
      <c r="D183" s="16" t="s">
        <v>48</v>
      </c>
      <c r="E183" s="16" t="s">
        <v>975</v>
      </c>
      <c r="F183" s="16" t="s">
        <v>28</v>
      </c>
      <c r="G183" s="16" t="s">
        <v>101</v>
      </c>
      <c r="H183" s="38" t="s">
        <v>1203</v>
      </c>
      <c r="I183" s="16"/>
      <c r="J183" s="17">
        <v>45748</v>
      </c>
      <c r="K183" s="17">
        <v>45755</v>
      </c>
      <c r="L183" s="16" t="s">
        <v>30</v>
      </c>
      <c r="M183" s="16"/>
      <c r="N183" s="18" t="s">
        <v>141</v>
      </c>
      <c r="O183" s="18" t="s">
        <v>32</v>
      </c>
      <c r="P183" s="19">
        <v>42354</v>
      </c>
      <c r="Q183" s="16" t="str">
        <f t="shared" ca="1" si="6"/>
        <v>9 years 5 months</v>
      </c>
      <c r="R183" s="16" t="s">
        <v>1204</v>
      </c>
      <c r="S183" s="16" t="s">
        <v>161</v>
      </c>
      <c r="T183" s="16" t="s">
        <v>1205</v>
      </c>
      <c r="U183" s="16" t="s">
        <v>161</v>
      </c>
      <c r="V183" s="15" t="s">
        <v>975</v>
      </c>
      <c r="W183" s="15" t="s">
        <v>531</v>
      </c>
      <c r="X183" s="20"/>
      <c r="Y183" s="1"/>
    </row>
    <row r="184" spans="1:25" ht="16.5">
      <c r="A184" s="16" t="s">
        <v>1206</v>
      </c>
      <c r="B184" s="16" t="s">
        <v>1207</v>
      </c>
      <c r="C184" s="15" t="s">
        <v>1208</v>
      </c>
      <c r="D184" s="16" t="s">
        <v>100</v>
      </c>
      <c r="E184" s="16" t="s">
        <v>1145</v>
      </c>
      <c r="F184" s="16" t="s">
        <v>214</v>
      </c>
      <c r="G184" s="16" t="s">
        <v>215</v>
      </c>
      <c r="H184" s="34" t="s">
        <v>914</v>
      </c>
      <c r="I184" s="16"/>
      <c r="J184" s="17">
        <v>45748</v>
      </c>
      <c r="K184" s="17"/>
      <c r="L184" s="16" t="s">
        <v>30</v>
      </c>
      <c r="M184" s="16"/>
      <c r="N184" s="18" t="s">
        <v>141</v>
      </c>
      <c r="O184" s="18" t="s">
        <v>32</v>
      </c>
      <c r="P184" s="19">
        <v>42039</v>
      </c>
      <c r="Q184" s="16" t="str">
        <f t="shared" ca="1" si="6"/>
        <v>10 years 3 months</v>
      </c>
      <c r="R184" s="16" t="s">
        <v>1209</v>
      </c>
      <c r="S184" s="16" t="s">
        <v>514</v>
      </c>
      <c r="T184" s="16"/>
      <c r="U184" s="16"/>
      <c r="V184" s="15" t="s">
        <v>826</v>
      </c>
      <c r="W184" s="15" t="s">
        <v>59</v>
      </c>
      <c r="X184" s="20"/>
      <c r="Y184" s="1"/>
    </row>
    <row r="185" spans="1:25" ht="16.5">
      <c r="A185" s="16" t="s">
        <v>1210</v>
      </c>
      <c r="B185" s="16" t="s">
        <v>1211</v>
      </c>
      <c r="C185" s="15" t="s">
        <v>1212</v>
      </c>
      <c r="D185" s="16" t="s">
        <v>100</v>
      </c>
      <c r="E185" s="14" t="s">
        <v>1145</v>
      </c>
      <c r="F185" s="16" t="s">
        <v>214</v>
      </c>
      <c r="G185" s="16" t="s">
        <v>215</v>
      </c>
      <c r="H185" s="67" t="s">
        <v>1213</v>
      </c>
      <c r="I185" s="14"/>
      <c r="J185" s="17">
        <v>45748</v>
      </c>
      <c r="K185" s="17"/>
      <c r="L185" s="16" t="s">
        <v>30</v>
      </c>
      <c r="M185" s="16"/>
      <c r="N185" s="18" t="s">
        <v>409</v>
      </c>
      <c r="O185" s="18" t="s">
        <v>32</v>
      </c>
      <c r="P185" s="19">
        <v>42156</v>
      </c>
      <c r="Q185" s="16" t="str">
        <f t="shared" ca="1" si="6"/>
        <v>9 years 11 months</v>
      </c>
      <c r="R185" s="14" t="s">
        <v>1214</v>
      </c>
      <c r="S185" s="14" t="s">
        <v>514</v>
      </c>
      <c r="T185" s="14"/>
      <c r="U185" s="14"/>
      <c r="V185" s="15" t="s">
        <v>481</v>
      </c>
      <c r="W185" s="15" t="s">
        <v>962</v>
      </c>
      <c r="X185" s="20"/>
      <c r="Y185" s="1"/>
    </row>
    <row r="186" spans="1:25" ht="16.5">
      <c r="A186" s="59" t="s">
        <v>1215</v>
      </c>
      <c r="B186" s="14" t="s">
        <v>1216</v>
      </c>
      <c r="C186" s="17">
        <v>45608</v>
      </c>
      <c r="D186" s="16" t="s">
        <v>206</v>
      </c>
      <c r="E186" s="16" t="s">
        <v>696</v>
      </c>
      <c r="F186" s="16" t="s">
        <v>28</v>
      </c>
      <c r="G186" s="14" t="s">
        <v>101</v>
      </c>
      <c r="H186" t="s">
        <v>102</v>
      </c>
      <c r="I186" s="14"/>
      <c r="J186" s="17">
        <v>45608</v>
      </c>
      <c r="K186" s="17">
        <v>45755</v>
      </c>
      <c r="L186" s="14" t="s">
        <v>30</v>
      </c>
      <c r="M186" s="14"/>
      <c r="N186" s="14" t="s">
        <v>1217</v>
      </c>
      <c r="O186" s="18" t="s">
        <v>32</v>
      </c>
      <c r="P186" s="19"/>
      <c r="Q186" s="16"/>
      <c r="R186" s="14" t="s">
        <v>72</v>
      </c>
      <c r="S186" s="14"/>
      <c r="T186" s="14" t="s">
        <v>72</v>
      </c>
      <c r="U186" s="14"/>
      <c r="V186" s="15" t="s">
        <v>72</v>
      </c>
      <c r="W186" s="15" t="s">
        <v>72</v>
      </c>
      <c r="X186" s="20"/>
      <c r="Y186" s="1"/>
    </row>
    <row r="187" spans="1:25" ht="16.5">
      <c r="A187" s="59" t="s">
        <v>1218</v>
      </c>
      <c r="B187" s="14" t="s">
        <v>1219</v>
      </c>
      <c r="C187" s="17">
        <v>45635</v>
      </c>
      <c r="D187" s="16" t="s">
        <v>48</v>
      </c>
      <c r="E187" s="14" t="s">
        <v>1220</v>
      </c>
      <c r="F187" s="16" t="s">
        <v>28</v>
      </c>
      <c r="G187" s="14" t="s">
        <v>1185</v>
      </c>
      <c r="H187" s="14" t="s">
        <v>1221</v>
      </c>
      <c r="I187" s="14"/>
      <c r="J187" s="17"/>
      <c r="K187" s="17"/>
      <c r="L187" s="14" t="s">
        <v>30</v>
      </c>
      <c r="M187" s="14"/>
      <c r="N187" s="14" t="s">
        <v>1185</v>
      </c>
      <c r="O187" s="55" t="s">
        <v>32</v>
      </c>
      <c r="P187" s="19">
        <v>39185</v>
      </c>
      <c r="Q187" s="16" t="str">
        <f ca="1">DATEDIF(P187, TODAY(), "Y") &amp; " years " &amp; DATEDIF(P187, TODAY(), "YM") &amp; " months"</f>
        <v>18 years 1 months</v>
      </c>
      <c r="R187" s="14" t="s">
        <v>1222</v>
      </c>
      <c r="S187" s="14" t="s">
        <v>872</v>
      </c>
      <c r="T187" s="14" t="s">
        <v>1223</v>
      </c>
      <c r="U187" s="14"/>
      <c r="V187" s="15" t="s">
        <v>1103</v>
      </c>
      <c r="W187" s="15" t="s">
        <v>1103</v>
      </c>
      <c r="X187" s="1"/>
      <c r="Y187" s="1"/>
    </row>
    <row r="188" spans="1:25" ht="286.5">
      <c r="A188" s="59" t="s">
        <v>1224</v>
      </c>
      <c r="B188" s="14" t="s">
        <v>1225</v>
      </c>
      <c r="C188" s="17">
        <v>45670</v>
      </c>
      <c r="D188" s="16" t="s">
        <v>48</v>
      </c>
      <c r="E188" s="16" t="s">
        <v>696</v>
      </c>
      <c r="F188" s="16" t="s">
        <v>28</v>
      </c>
      <c r="G188" s="16" t="s">
        <v>101</v>
      </c>
      <c r="H188" s="68" t="s">
        <v>1226</v>
      </c>
      <c r="I188" s="14"/>
      <c r="J188" s="17">
        <v>45670</v>
      </c>
      <c r="K188" s="17">
        <v>45755</v>
      </c>
      <c r="L188" s="14" t="s">
        <v>30</v>
      </c>
      <c r="M188" s="14"/>
      <c r="N188" s="14"/>
      <c r="O188" s="18" t="s">
        <v>32</v>
      </c>
      <c r="P188" s="19"/>
      <c r="Q188" s="16"/>
      <c r="R188" s="14" t="s">
        <v>1227</v>
      </c>
      <c r="S188" s="14"/>
      <c r="T188" s="14"/>
      <c r="U188" s="14"/>
      <c r="V188" s="15" t="s">
        <v>1128</v>
      </c>
      <c r="W188" s="15" t="s">
        <v>1103</v>
      </c>
      <c r="X188" s="1"/>
      <c r="Y188" s="1"/>
    </row>
    <row r="189" spans="1:25" ht="16.5">
      <c r="A189" s="16" t="s">
        <v>1228</v>
      </c>
      <c r="B189" s="16" t="s">
        <v>1229</v>
      </c>
      <c r="C189" s="15" t="s">
        <v>810</v>
      </c>
      <c r="D189" s="16" t="s">
        <v>100</v>
      </c>
      <c r="E189" s="16" t="s">
        <v>1230</v>
      </c>
      <c r="F189" s="16" t="s">
        <v>214</v>
      </c>
      <c r="G189" s="16" t="s">
        <v>215</v>
      </c>
      <c r="H189" s="34" t="s">
        <v>480</v>
      </c>
      <c r="I189" s="16"/>
      <c r="J189" s="17">
        <v>45748</v>
      </c>
      <c r="K189" s="17"/>
      <c r="L189" s="16" t="s">
        <v>30</v>
      </c>
      <c r="M189" s="16"/>
      <c r="N189" s="18" t="s">
        <v>141</v>
      </c>
      <c r="O189" s="18" t="s">
        <v>32</v>
      </c>
      <c r="P189" s="19">
        <v>43450</v>
      </c>
      <c r="Q189" s="16" t="str">
        <f ca="1">DATEDIF(P189, TODAY(), "Y") &amp; " years " &amp; DATEDIF(P189, TODAY(), "YM") &amp; " months"</f>
        <v>6 years 5 months</v>
      </c>
      <c r="R189" s="16" t="s">
        <v>1231</v>
      </c>
      <c r="S189" s="16" t="s">
        <v>1232</v>
      </c>
      <c r="T189" s="16"/>
      <c r="U189" s="16"/>
      <c r="V189" s="15" t="s">
        <v>1192</v>
      </c>
      <c r="W189" s="15" t="s">
        <v>59</v>
      </c>
      <c r="X189" s="20"/>
      <c r="Y189" s="1"/>
    </row>
    <row r="190" spans="1:25" ht="16.5">
      <c r="A190" s="59" t="s">
        <v>1233</v>
      </c>
      <c r="B190" s="14" t="s">
        <v>1234</v>
      </c>
      <c r="C190" s="17">
        <v>45709</v>
      </c>
      <c r="D190" s="16" t="s">
        <v>1165</v>
      </c>
      <c r="E190" s="16" t="s">
        <v>696</v>
      </c>
      <c r="F190" s="16" t="s">
        <v>28</v>
      </c>
      <c r="G190" s="16" t="s">
        <v>101</v>
      </c>
      <c r="H190" t="s">
        <v>102</v>
      </c>
      <c r="I190" s="14"/>
      <c r="J190" s="17">
        <v>45709</v>
      </c>
      <c r="K190" s="17">
        <v>45755</v>
      </c>
      <c r="L190" s="14" t="s">
        <v>30</v>
      </c>
      <c r="M190" s="14"/>
      <c r="N190" s="14"/>
      <c r="O190" s="18" t="s">
        <v>32</v>
      </c>
      <c r="P190" s="19"/>
      <c r="Q190" s="16"/>
      <c r="R190" s="14"/>
      <c r="S190" s="14"/>
      <c r="T190" s="14"/>
      <c r="U190" s="14"/>
      <c r="V190" s="14"/>
      <c r="W190" s="14"/>
      <c r="X190" s="1"/>
      <c r="Y190" s="1"/>
    </row>
    <row r="191" spans="1:25" ht="16.5">
      <c r="A191" s="69" t="s">
        <v>1235</v>
      </c>
      <c r="B191" s="42" t="s">
        <v>1236</v>
      </c>
      <c r="C191" s="47" t="s">
        <v>1237</v>
      </c>
      <c r="D191" s="16" t="s">
        <v>1184</v>
      </c>
      <c r="E191" s="42" t="s">
        <v>1238</v>
      </c>
      <c r="F191" s="16" t="s">
        <v>28</v>
      </c>
      <c r="G191" s="16" t="s">
        <v>1239</v>
      </c>
      <c r="H191" s="16"/>
      <c r="I191" s="16"/>
      <c r="J191" s="17"/>
      <c r="K191" s="17"/>
      <c r="L191" s="16" t="s">
        <v>30</v>
      </c>
      <c r="M191" s="16"/>
      <c r="N191" s="18" t="s">
        <v>1239</v>
      </c>
      <c r="O191" s="18" t="s">
        <v>32</v>
      </c>
      <c r="P191" s="19">
        <v>36185</v>
      </c>
      <c r="Q191" s="16" t="str">
        <f ca="1">DATEDIF(P191, TODAY(), "Y") &amp; " years " &amp; DATEDIF(P191, TODAY(), "YM") &amp; " months"</f>
        <v>26 years 4 months</v>
      </c>
      <c r="R191" s="16" t="s">
        <v>1240</v>
      </c>
      <c r="S191" s="16" t="s">
        <v>1241</v>
      </c>
      <c r="T191" s="16" t="s">
        <v>1242</v>
      </c>
      <c r="U191" s="16"/>
      <c r="V191" s="15" t="s">
        <v>990</v>
      </c>
      <c r="W191" s="15" t="s">
        <v>96</v>
      </c>
      <c r="X191" s="20"/>
      <c r="Y191" s="1"/>
    </row>
    <row r="192" spans="1:25" ht="16.5">
      <c r="A192" s="42" t="s">
        <v>1243</v>
      </c>
      <c r="B192" s="42" t="s">
        <v>1244</v>
      </c>
      <c r="C192" s="47">
        <v>45748</v>
      </c>
      <c r="D192" s="16" t="s">
        <v>369</v>
      </c>
      <c r="E192" s="42" t="s">
        <v>1245</v>
      </c>
      <c r="F192" s="16" t="s">
        <v>236</v>
      </c>
      <c r="G192" s="16" t="s">
        <v>269</v>
      </c>
      <c r="H192" s="16"/>
      <c r="I192" s="16"/>
      <c r="J192" s="17">
        <v>45749</v>
      </c>
      <c r="K192" s="17"/>
      <c r="L192" s="16" t="s">
        <v>51</v>
      </c>
      <c r="M192" s="16"/>
      <c r="N192" s="18" t="s">
        <v>269</v>
      </c>
      <c r="O192" s="18" t="s">
        <v>80</v>
      </c>
      <c r="P192" s="70">
        <v>45748</v>
      </c>
      <c r="Q192" s="16" t="str">
        <f ca="1">DATEDIF(P192, TODAY(), "Y") &amp; " years " &amp; DATEDIF(P192, TODAY(), "YM") &amp; " months"</f>
        <v>0 years 1 months</v>
      </c>
      <c r="R192" s="16" t="s">
        <v>1246</v>
      </c>
      <c r="S192" s="16"/>
      <c r="T192" t="s">
        <v>1247</v>
      </c>
      <c r="U192" s="16"/>
      <c r="V192" s="15" t="s">
        <v>1192</v>
      </c>
      <c r="W192" s="15" t="s">
        <v>59</v>
      </c>
      <c r="X192" s="20"/>
      <c r="Y192" s="1"/>
    </row>
    <row r="193" spans="1:25" ht="16.5">
      <c r="A193" s="71" t="s">
        <v>1248</v>
      </c>
      <c r="B193" s="71" t="s">
        <v>1249</v>
      </c>
      <c r="C193" s="70">
        <v>45754</v>
      </c>
      <c r="D193" s="34" t="s">
        <v>265</v>
      </c>
      <c r="E193" s="71" t="s">
        <v>266</v>
      </c>
      <c r="F193" s="34" t="s">
        <v>28</v>
      </c>
      <c r="G193" s="34" t="s">
        <v>910</v>
      </c>
      <c r="H193" s="34" t="s">
        <v>1146</v>
      </c>
      <c r="I193" s="34"/>
      <c r="J193" s="72"/>
      <c r="K193" s="72"/>
      <c r="L193" s="34" t="s">
        <v>30</v>
      </c>
      <c r="M193" s="34"/>
      <c r="N193" s="73"/>
      <c r="O193" s="73" t="s">
        <v>32</v>
      </c>
      <c r="P193" s="70"/>
      <c r="Q193" s="34"/>
      <c r="R193" s="34"/>
      <c r="S193" s="34"/>
      <c r="U193" s="34"/>
      <c r="V193" s="60"/>
      <c r="W193" s="60"/>
      <c r="X193" s="74"/>
      <c r="Y193" s="75"/>
    </row>
    <row r="194" spans="1:25" ht="16.5">
      <c r="A194" s="71" t="s">
        <v>1250</v>
      </c>
      <c r="B194" s="71" t="s">
        <v>1251</v>
      </c>
      <c r="C194" s="70">
        <v>45754</v>
      </c>
      <c r="D194" s="34" t="s">
        <v>1188</v>
      </c>
      <c r="E194" s="71" t="s">
        <v>322</v>
      </c>
      <c r="F194" s="34" t="s">
        <v>28</v>
      </c>
      <c r="G194" s="34" t="s">
        <v>910</v>
      </c>
      <c r="H194" s="34" t="s">
        <v>1146</v>
      </c>
      <c r="I194" s="34"/>
      <c r="J194" s="72"/>
      <c r="K194" s="72"/>
      <c r="L194" s="34" t="s">
        <v>30</v>
      </c>
      <c r="M194" s="34"/>
      <c r="N194" s="73"/>
      <c r="O194" s="73" t="s">
        <v>32</v>
      </c>
      <c r="P194" s="70"/>
      <c r="Q194" s="34"/>
      <c r="R194" s="34"/>
      <c r="S194" s="34"/>
      <c r="U194" s="34"/>
      <c r="V194" s="60"/>
      <c r="W194" s="60"/>
      <c r="X194" s="74"/>
      <c r="Y194" s="75"/>
    </row>
    <row r="195" spans="1:25" ht="16.5">
      <c r="A195" s="71" t="s">
        <v>1252</v>
      </c>
      <c r="B195" s="71" t="s">
        <v>1253</v>
      </c>
      <c r="C195" s="70" t="s">
        <v>500</v>
      </c>
      <c r="D195" s="34" t="s">
        <v>48</v>
      </c>
      <c r="E195" s="34" t="s">
        <v>148</v>
      </c>
      <c r="F195" s="34" t="s">
        <v>28</v>
      </c>
      <c r="G195" s="34" t="s">
        <v>910</v>
      </c>
      <c r="H195" s="34" t="s">
        <v>1254</v>
      </c>
      <c r="I195" s="34"/>
      <c r="J195" s="72"/>
      <c r="K195" s="72"/>
      <c r="L195" s="34" t="s">
        <v>30</v>
      </c>
      <c r="M195" s="34"/>
      <c r="N195" s="73"/>
      <c r="O195" s="73" t="s">
        <v>32</v>
      </c>
      <c r="P195" s="70"/>
      <c r="Q195" s="34"/>
      <c r="R195" s="34"/>
      <c r="S195" s="34"/>
      <c r="U195" s="34"/>
      <c r="V195" s="60"/>
      <c r="W195" s="60"/>
      <c r="X195" s="74"/>
      <c r="Y195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2025-05-29T16:47:30Z</dcterms:created>
  <dcterms:modified xsi:type="dcterms:W3CDTF">2025-05-29T16:49:03Z</dcterms:modified>
  <cp:category/>
  <cp:contentStatus/>
</cp:coreProperties>
</file>